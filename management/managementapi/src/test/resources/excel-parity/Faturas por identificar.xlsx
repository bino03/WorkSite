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jlalv\Desktop\VILATRO\Vilatro\Faturas por identificar\"/>
    </mc:Choice>
  </mc:AlternateContent>
  <xr:revisionPtr revIDLastSave="0" documentId="13_ncr:1_{CD7162B3-E8B6-4040-A643-94AAB9D16D58}" xr6:coauthVersionLast="47" xr6:coauthVersionMax="47" xr10:uidLastSave="{00000000-0000-0000-0000-000000000000}"/>
  <bookViews>
    <workbookView xWindow="-108" yWindow="-108" windowWidth="23256" windowHeight="12456" firstSheet="1" activeTab="1" xr2:uid="{F0BF764B-D2D1-48F8-87DC-51A5B91ED5D8}"/>
  </bookViews>
  <sheets>
    <sheet name="Listas" sheetId="2" state="veryHidden" r:id="rId1"/>
    <sheet name="Por identificar" sheetId="1" r:id="rId2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calcChain.xml><?xml version="1.0" encoding="utf-8"?>
<calcChain xmlns="http://schemas.openxmlformats.org/spreadsheetml/2006/main">
  <c r="D7" i="1" l="1"/>
  <c r="M7" i="1"/>
</calcChain>
</file>

<file path=xl/sharedStrings.xml><?xml version="1.0" encoding="utf-8"?>
<sst xmlns="http://schemas.openxmlformats.org/spreadsheetml/2006/main" count="39" uniqueCount="39">
  <si>
    <t>Nº Fatura</t>
  </si>
  <si>
    <t>Data</t>
  </si>
  <si>
    <t>Produto/Serviço</t>
  </si>
  <si>
    <t>Valor</t>
  </si>
  <si>
    <t>Liquidada</t>
  </si>
  <si>
    <t>Metodo Pagamento</t>
  </si>
  <si>
    <t>Bizdocs</t>
  </si>
  <si>
    <t>Observações</t>
  </si>
  <si>
    <t>Empreendimento</t>
  </si>
  <si>
    <t>Fornecedor</t>
  </si>
  <si>
    <t>Obras possíveis</t>
  </si>
  <si>
    <t>Perguntar a</t>
  </si>
  <si>
    <t>Aqui desde</t>
  </si>
  <si>
    <t>Total</t>
  </si>
  <si>
    <t>Vila Aleu</t>
  </si>
  <si>
    <t>Vila Petrus</t>
  </si>
  <si>
    <t>Villa Atrium</t>
  </si>
  <si>
    <t>Despesas da empresa</t>
  </si>
  <si>
    <t>FR 2/127402</t>
  </si>
  <si>
    <t>Corda entrancada (3,915 kg)</t>
  </si>
  <si>
    <t>AgroTransmontano</t>
  </si>
  <si>
    <t>ATCUD JF6XWBF2-127402</t>
  </si>
  <si>
    <t>FS 2025/496</t>
  </si>
  <si>
    <t>Chave normal - chave pontos - porta-etiquetas cores</t>
  </si>
  <si>
    <t>Real Chaves (Carlos X. dos Santos Cardoso)</t>
  </si>
  <si>
    <t>FR 2593126/1594</t>
  </si>
  <si>
    <t>Tampa saneamento G (6 un)</t>
  </si>
  <si>
    <t>Real Marao (de Alfredo Jorge, Lda)</t>
  </si>
  <si>
    <t>ATCUD J6TKYSFH-1594</t>
  </si>
  <si>
    <t>FR FR.2026/16773</t>
  </si>
  <si>
    <t>Weber Color Premium 5kg Antracite (2 un)</t>
  </si>
  <si>
    <t>Martins Cunha &amp; Ca</t>
  </si>
  <si>
    <t>FA FA2026A/10</t>
  </si>
  <si>
    <t>Calinorte - Rufo de murete em chapa lacada (57,50 mt)</t>
  </si>
  <si>
    <t>Sim</t>
  </si>
  <si>
    <t>Transferência</t>
  </si>
  <si>
    <t>X</t>
  </si>
  <si>
    <t>Pago pelo recibo REC2026/8 (21/05/2026). Fatura traz impresso 'OBRA AO LADO DA CAPELA NOVA' - nao corresponde a nenhuma obra conhecida (Vila Aleu, Vila Petrus, Villa Atrium). Chegou no lote do Bizdocs exportado por engano para o Vila Aleu (16-09-2026)</t>
  </si>
  <si>
    <t>Calinorte (Nuno Miguel Cunha Unipessoal Lda)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</si>
</sst>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[&lt;1000]0.00&quot; €&quot;;#\.##0.00&quot; €&quot;"/>
    <numFmt numFmtId="165" formatCode="#,##0.00\ &quot;€&quot;"/>
  </numFmts>
  <fonts count="1" x14ac:knownFonts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14" fontId="0" fillId="0" borderId="0" xfId="0" applyNumberFormat="1"/>
    <xf numFmtId="164" fontId="0" fillId="0" borderId="0" xfId="0" applyNumberFormat="1"/>
    <xf numFmtId="165" fontId="0" fillId="0" borderId="0" xfId="0" applyNumberFormat="1"/>
  </cellXfs>
  <cellStyles count="1">
    <cellStyle name="Normal" xfId="0" builtinId="0"/>
  </cellStyles>
  <dxfs count="5">
    <dxf>
      <numFmt numFmtId="164" formatCode="[&lt;1000]0.00&quot; €&quot;;#\.##0.00&quot; €&quot;"/>
    </dxf>
    <dxf>
      <font>
        <color rgb="FF92D050"/>
      </font>
      <fill>
        <patternFill>
          <bgColor rgb="FF92D050"/>
        </patternFill>
      </fill>
    </dxf>
    <dxf>
      <numFmt numFmtId="19" formatCode="dd/mm/yyyy"/>
    </dxf>
    <dxf>
      <numFmt numFmtId="164" formatCode="[&lt;1000]0.00&quot; €&quot;;#\.##0.00&quot; €&quot;"/>
    </dxf>
    <dxf>
      <numFmt numFmtId="19" formatCode="dd/mm/yyyy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5821FF2D-B8BA-41F4-851A-901483A49ACD}" name="TabelaPorIdentificar" displayName="TabelaPorIdentificar" ref="A1:M7" totalsRowCount="1">
  <autoFilter ref="A1:M6" xr:uid="{5821FF2D-B8BA-41F4-851A-901483A49ACD}"/>
  <tableColumns count="13">
    <tableColumn id="1" xr3:uid="{1C6D5386-0AE9-44F8-85E1-359884CAEFCC}" name="Nº Fatura" totalsRowLabel="Total"/>
    <tableColumn id="2" xr3:uid="{83689A2A-A6BF-4476-931D-0CCE29262545}" name="Data" dataDxfId="4"/>
    <tableColumn id="3" xr3:uid="{A8F1D8AE-0B8D-485F-ABAB-18633180EF9C}" name="Produto/Serviço"/>
    <tableColumn id="4" xr3:uid="{3C3B2D57-18B3-4ED5-AE3B-74618E975DD0}" name="Valor" totalsRowFunction="sum" dataDxfId="3" totalsRowDxfId="0"/>
    <tableColumn id="5" xr3:uid="{A30DD473-5C79-44AD-A533-082028D6EEED}" name="Liquidada"/>
    <tableColumn id="6" xr3:uid="{081AE030-88F0-4358-BEF6-951B9BF7D77A}" name="Metodo Pagamento"/>
    <tableColumn id="7" xr3:uid="{C2877623-5DD6-4AFC-8F1C-95C9C158716E}" name="Bizdocs"/>
    <tableColumn id="8" xr3:uid="{E7201292-C3D8-4E82-AE24-5B70A0B079E2}" name="Observações"/>
    <tableColumn id="9" xr3:uid="{E9C78F55-E323-4EED-B300-6A113FD8B89C}" name="Empreendimento"/>
    <tableColumn id="10" xr3:uid="{50AF2733-02D1-49EC-82E7-7D09DF0B27E3}" name="Fornecedor"/>
    <tableColumn id="11" xr3:uid="{C5F703E5-11DC-4F9A-AE7E-8F1A4819391F}" name="Obras possíveis"/>
    <tableColumn id="12" xr3:uid="{BC0B7294-BC14-4AFC-9BF1-7D8233F68B4F}" name="Perguntar a"/>
    <tableColumn id="13" xr3:uid="{FD237C6C-87DC-4485-B732-519004A5C7D9}" name="Aqui desde" totalsRowFunction="count" dataDxfId="2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Tema do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024CC37-1C24-49B1-970E-5503679DE9B5}">
  <dimension ref="A1:A4"/>
  <sheetViews>
    <sheetView workbookViewId="0"/>
  </sheetViews>
  <sheetFormatPr defaultRowHeight="14.4" x14ac:dyDescent="0.3"/>
  <sheetData>
    <row r="1" spans="1:1" x14ac:dyDescent="0.3">
      <c r="A1" t="s">
        <v>14</v>
      </c>
    </row>
    <row r="2" spans="1:1" x14ac:dyDescent="0.3">
      <c r="A2" t="s">
        <v>15</v>
      </c>
    </row>
    <row r="3" spans="1:1" x14ac:dyDescent="0.3">
      <c r="A3" t="s">
        <v>16</v>
      </c>
    </row>
    <row r="4" spans="1:1" x14ac:dyDescent="0.3">
      <c r="A4" t="s">
        <v>17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BE62C2F-9108-4783-9E9B-BE114ACEEC4F}">
  <dimension ref="A1:M7"/>
  <sheetViews>
    <sheetView tabSelected="1" workbookViewId="0"/>
  </sheetViews>
  <sheetFormatPr defaultRowHeight="14.4" x14ac:dyDescent="0.3"/>
  <cols>
    <col min="1" max="1" width="15.6640625" bestFit="1" customWidth="1"/>
    <col min="2" max="2" width="10.33203125" bestFit="1" customWidth="1"/>
    <col min="3" max="3" width="87.33203125" bestFit="1" customWidth="1"/>
    <col min="4" max="4" width="9.44140625" bestFit="1" customWidth="1"/>
    <col min="5" max="5" width="11.5546875" bestFit="1" customWidth="1"/>
    <col min="6" max="6" width="19.21875" bestFit="1" customWidth="1"/>
    <col min="7" max="7" width="9.77734375" bestFit="1" customWidth="1"/>
    <col min="8" max="8" width="88.77734375" bestFit="1" customWidth="1"/>
    <col min="9" max="9" width="17.77734375" bestFit="1" customWidth="1"/>
    <col min="10" max="10" width="35.21875" bestFit="1" customWidth="1"/>
    <col min="11" max="11" width="61.77734375" bestFit="1" customWidth="1"/>
    <col min="12" max="12" width="83.88671875" bestFit="1" customWidth="1"/>
    <col min="13" max="13" width="12.44140625" bestFit="1" customWidth="1"/>
  </cols>
  <sheetData>
    <row r="1" spans="1:13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</row>
    <row r="2" spans="1:13" x14ac:dyDescent="0.3">
      <c r="A2" t="s">
        <v>18</v>
      </c>
      <c r="B2" s="1">
        <v>46161</v>
      </c>
      <c r="C2" t="s">
        <v>19</v>
      </c>
      <c r="D2" s="3">
        <v>26.43</v>
      </c>
      <c r="H2" t="s">
        <v>21</v>
      </c>
      <c r="J2" t="s">
        <v>20</v>
      </c>
      <c r="M2" s="1">
        <v>46273</v>
      </c>
    </row>
    <row r="3" spans="1:13" x14ac:dyDescent="0.3">
      <c r="A3" t="s">
        <v>22</v>
      </c>
      <c r="B3" s="1">
        <v>46223</v>
      </c>
      <c r="C3" t="s">
        <v>23</v>
      </c>
      <c r="D3" s="3">
        <v>23.9</v>
      </c>
      <c r="J3" t="s">
        <v>24</v>
      </c>
      <c r="M3" s="1">
        <v>46273</v>
      </c>
    </row>
    <row r="4" spans="1:13" x14ac:dyDescent="0.3">
      <c r="A4" t="s">
        <v>25</v>
      </c>
      <c r="B4" s="1">
        <v>46219</v>
      </c>
      <c r="C4" t="s">
        <v>26</v>
      </c>
      <c r="D4" s="3">
        <v>246.87</v>
      </c>
      <c r="H4" t="s">
        <v>28</v>
      </c>
      <c r="J4" t="s">
        <v>27</v>
      </c>
      <c r="M4" s="1">
        <v>46273</v>
      </c>
    </row>
    <row r="5" spans="1:13" x14ac:dyDescent="0.3">
      <c r="A5" t="s">
        <v>29</v>
      </c>
      <c r="B5" s="1">
        <v>46227</v>
      </c>
      <c r="C5" t="s">
        <v>30</v>
      </c>
      <c r="D5" s="3">
        <v>30.32</v>
      </c>
      <c r="J5" t="s">
        <v>31</v>
      </c>
      <c r="M5" s="1">
        <v>46273</v>
      </c>
    </row>
    <row r="6" spans="1:13" x14ac:dyDescent="0.3">
      <c r="A6" t="s">
        <v>32</v>
      </c>
      <c r="B6" s="1">
        <v>46162</v>
      </c>
      <c r="C6" t="s">
        <v>33</v>
      </c>
      <c r="D6" s="2">
        <v>718.75</v>
      </c>
      <c r="E6" t="s">
        <v>34</v>
      </c>
      <c r="F6" t="s">
        <v>35</v>
      </c>
      <c r="G6" t="s">
        <v>36</v>
      </c>
      <c r="H6" t="s">
        <v>37</v>
      </c>
      <c r="J6" t="s">
        <v>38</v>
      </c>
      <c r="M6" s="1">
        <v>46282</v>
      </c>
    </row>
    <row r="7" spans="1:13" x14ac:dyDescent="0.3">
      <c r="A7" t="s">
        <v>13</v>
      </c>
      <c r="D7" s="2">
        <f>SUBTOTAL(109,TabelaPorIdentificar[Valor])</f>
        <v>1046.27</v>
      </c>
      <c r="M7">
        <f>SUBTOTAL(103,TabelaPorIdentificar[Aqui desde])</f>
        <v>5</v>
      </c>
    </row>
  </sheetData>
  <conditionalFormatting sqref="E2:E6 G2:G6">
    <cfRule type="cellIs" dxfId="1" priority="1" operator="equal">
      <formula>"X"</formula>
    </cfRule>
  </conditionalFormatting>
  <pageMargins left="0.7" right="0.7" top="0.75" bottom="0.75" header="0.3" footer="0.3"/>
  <tableParts count="1">
    <tablePart r:id="rId1"/>
  </tableParts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E778EA1A-3091-4E0D-9B2F-88033826EFCE}">
          <x14:formula1>
            <xm:f>Listas!$A$1:$A$4</xm:f>
          </x14:formula1>
          <xm:sqref>I2:I6</xm:sqref>
        </x14:dataValidation>
      </x14:dataValidations>
    </ext>
  </extLst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Folhas de Cálculo</vt:lpstr>
      </vt:variant>
      <vt:variant>
        <vt:i4>1</vt:i4>
      </vt:variant>
    </vt:vector>
  </HeadingPairs>
  <TitlesOfParts>
    <vt:vector size="1" baseType="lpstr">
      <vt:lpstr>Por identificar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JOÃO LUÍS ALVES DE CARVALHO</dc:creator>
  <cp:lastModifiedBy>JOÃO LUÍS ALVES DE CARVALHO</cp:lastModifiedBy>
  <dcterms:created xsi:type="dcterms:W3CDTF">2026-09-03T15:00:07Z</dcterms:created>
  <dcterms:modified xsi:type="dcterms:W3CDTF">2026-09-17T13:53:20Z</dcterms:modified>
</cp:coreProperties>
</file>