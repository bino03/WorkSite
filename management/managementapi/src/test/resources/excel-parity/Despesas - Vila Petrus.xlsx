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lalv\Desktop\VILATRO\Vilatro\Empreendimentos\Vila Petrus\"/>
    </mc:Choice>
  </mc:AlternateContent>
  <xr:revisionPtr revIDLastSave="0" documentId="13_ncr:1_{5FDCD923-A6BA-4CB6-8B9D-FF1679EAE2BF}" xr6:coauthVersionLast="47" xr6:coauthVersionMax="47" xr10:uidLastSave="{00000000-0000-0000-0000-000000000000}"/>
  <bookViews>
    <workbookView xWindow="-108" yWindow="-108" windowWidth="23256" windowHeight="12456" activeTab="1" xr2:uid="{00000000-000D-0000-FFFF-FFFF00000000}"/>
  </bookViews>
  <sheets>
    <sheet name="Orçamento inicial" sheetId="2" r:id="rId1"/>
    <sheet name="Despesas" sheetId="6" r:id="rId2"/>
    <sheet name="Orçamento vs Gasto" sheetId="14" r:id="rId3"/>
    <sheet name="Rubricas" sheetId="13" r:id="rId4"/>
  </sheets>
  <definedNames>
    <definedName name="_xlnm._FilterDatabase" localSheetId="1" hidden="1">Despesas!$A$1:$D$17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4" l="1" a="1"/>
  <c r="G30" i="14" s="1"/>
  <c r="C29" i="14"/>
  <c r="B5" i="14" s="1"/>
  <c r="J175" i="13"/>
  <c r="G175" i="13"/>
  <c r="I175" i="13" s="1"/>
  <c r="J174" i="13"/>
  <c r="G174" i="13"/>
  <c r="I174" i="13" s="1"/>
  <c r="J173" i="13"/>
  <c r="G173" i="13"/>
  <c r="I173" i="13" s="1"/>
  <c r="J172" i="13"/>
  <c r="G172" i="13"/>
  <c r="I172" i="13" s="1"/>
  <c r="J171" i="13"/>
  <c r="G171" i="13"/>
  <c r="I171" i="13" s="1"/>
  <c r="J170" i="13"/>
  <c r="G170" i="13"/>
  <c r="J169" i="13"/>
  <c r="G169" i="13"/>
  <c r="I169" i="13" s="1"/>
  <c r="J168" i="13"/>
  <c r="G168" i="13"/>
  <c r="I168" i="13" s="1"/>
  <c r="J167" i="13"/>
  <c r="G27" i="14" s="1"/>
  <c r="G167" i="13"/>
  <c r="J166" i="13"/>
  <c r="G166" i="13"/>
  <c r="I166" i="13" s="1"/>
  <c r="J165" i="13"/>
  <c r="G165" i="13"/>
  <c r="I165" i="13" s="1"/>
  <c r="J164" i="13"/>
  <c r="G164" i="13"/>
  <c r="I164" i="13" s="1"/>
  <c r="J163" i="13"/>
  <c r="G163" i="13"/>
  <c r="I163" i="13" s="1"/>
  <c r="J162" i="13"/>
  <c r="G162" i="13"/>
  <c r="I162" i="13" s="1"/>
  <c r="J161" i="13"/>
  <c r="G161" i="13"/>
  <c r="I161" i="13" s="1"/>
  <c r="J160" i="13"/>
  <c r="G160" i="13"/>
  <c r="I160" i="13" s="1"/>
  <c r="J159" i="13"/>
  <c r="G159" i="13"/>
  <c r="I159" i="13" s="1"/>
  <c r="J158" i="13"/>
  <c r="G158" i="13"/>
  <c r="I158" i="13" s="1"/>
  <c r="J157" i="13"/>
  <c r="I157" i="13"/>
  <c r="G157" i="13"/>
  <c r="H157" i="13" s="1"/>
  <c r="J156" i="13"/>
  <c r="G156" i="13"/>
  <c r="J155" i="13"/>
  <c r="G155" i="13"/>
  <c r="I155" i="13" s="1"/>
  <c r="J154" i="13"/>
  <c r="G154" i="13"/>
  <c r="I154" i="13" s="1"/>
  <c r="J153" i="13"/>
  <c r="G153" i="13"/>
  <c r="I153" i="13" s="1"/>
  <c r="J152" i="13"/>
  <c r="G152" i="13"/>
  <c r="I152" i="13" s="1"/>
  <c r="J151" i="13"/>
  <c r="G151" i="13"/>
  <c r="I151" i="13" s="1"/>
  <c r="J150" i="13"/>
  <c r="G150" i="13"/>
  <c r="I150" i="13" s="1"/>
  <c r="J149" i="13"/>
  <c r="G149" i="13"/>
  <c r="I149" i="13" s="1"/>
  <c r="J148" i="13"/>
  <c r="G148" i="13"/>
  <c r="I148" i="13" s="1"/>
  <c r="J147" i="13"/>
  <c r="G147" i="13"/>
  <c r="I147" i="13" s="1"/>
  <c r="J146" i="13"/>
  <c r="G146" i="13"/>
  <c r="I146" i="13" s="1"/>
  <c r="J145" i="13"/>
  <c r="G145" i="13"/>
  <c r="I145" i="13" s="1"/>
  <c r="J144" i="13"/>
  <c r="I144" i="13"/>
  <c r="G144" i="13"/>
  <c r="H144" i="13" s="1"/>
  <c r="J143" i="13"/>
  <c r="G143" i="13"/>
  <c r="I143" i="13" s="1"/>
  <c r="J142" i="13"/>
  <c r="G142" i="13"/>
  <c r="I142" i="13" s="1"/>
  <c r="J141" i="13"/>
  <c r="G141" i="13"/>
  <c r="I141" i="13" s="1"/>
  <c r="J140" i="13"/>
  <c r="G140" i="13"/>
  <c r="I140" i="13" s="1"/>
  <c r="J139" i="13"/>
  <c r="G139" i="13"/>
  <c r="I139" i="13" s="1"/>
  <c r="J138" i="13"/>
  <c r="G138" i="13"/>
  <c r="I138" i="13" s="1"/>
  <c r="J137" i="13"/>
  <c r="G137" i="13"/>
  <c r="I137" i="13" s="1"/>
  <c r="J136" i="13"/>
  <c r="G136" i="13"/>
  <c r="I136" i="13" s="1"/>
  <c r="J135" i="13"/>
  <c r="G135" i="13"/>
  <c r="I135" i="13" s="1"/>
  <c r="J134" i="13"/>
  <c r="G134" i="13"/>
  <c r="I134" i="13" s="1"/>
  <c r="J133" i="13"/>
  <c r="G133" i="13"/>
  <c r="I133" i="13" s="1"/>
  <c r="J132" i="13"/>
  <c r="G132" i="13"/>
  <c r="I132" i="13" s="1"/>
  <c r="J131" i="13"/>
  <c r="G131" i="13"/>
  <c r="I131" i="13" s="1"/>
  <c r="J130" i="13"/>
  <c r="G130" i="13"/>
  <c r="I130" i="13" s="1"/>
  <c r="J129" i="13"/>
  <c r="I129" i="13"/>
  <c r="G129" i="13"/>
  <c r="H129" i="13" s="1"/>
  <c r="J128" i="13"/>
  <c r="G128" i="13"/>
  <c r="I128" i="13" s="1"/>
  <c r="J127" i="13"/>
  <c r="G127" i="13"/>
  <c r="I127" i="13" s="1"/>
  <c r="J126" i="13"/>
  <c r="I126" i="13"/>
  <c r="G126" i="13"/>
  <c r="H126" i="13" s="1"/>
  <c r="J125" i="13"/>
  <c r="G125" i="13"/>
  <c r="I125" i="13" s="1"/>
  <c r="J124" i="13"/>
  <c r="G124" i="13"/>
  <c r="I124" i="13" s="1"/>
  <c r="J123" i="13"/>
  <c r="G123" i="13"/>
  <c r="I123" i="13" s="1"/>
  <c r="J122" i="13"/>
  <c r="G122" i="13"/>
  <c r="I122" i="13" s="1"/>
  <c r="J121" i="13"/>
  <c r="G121" i="13"/>
  <c r="I121" i="13" s="1"/>
  <c r="J120" i="13"/>
  <c r="G120" i="13"/>
  <c r="I120" i="13" s="1"/>
  <c r="J119" i="13"/>
  <c r="I119" i="13"/>
  <c r="G119" i="13"/>
  <c r="H119" i="13" s="1"/>
  <c r="J118" i="13"/>
  <c r="G118" i="13"/>
  <c r="I118" i="13" s="1"/>
  <c r="J117" i="13"/>
  <c r="G117" i="13"/>
  <c r="I117" i="13" s="1"/>
  <c r="J116" i="13"/>
  <c r="G116" i="13"/>
  <c r="I116" i="13" s="1"/>
  <c r="J115" i="13"/>
  <c r="G115" i="13"/>
  <c r="I115" i="13" s="1"/>
  <c r="J114" i="13"/>
  <c r="G114" i="13"/>
  <c r="I114" i="13" s="1"/>
  <c r="J113" i="13"/>
  <c r="G113" i="13"/>
  <c r="I113" i="13" s="1"/>
  <c r="J112" i="13"/>
  <c r="I112" i="13"/>
  <c r="G112" i="13"/>
  <c r="H112" i="13" s="1"/>
  <c r="J111" i="13"/>
  <c r="G111" i="13"/>
  <c r="I111" i="13" s="1"/>
  <c r="J110" i="13"/>
  <c r="I110" i="13"/>
  <c r="G110" i="13"/>
  <c r="H110" i="13" s="1"/>
  <c r="J109" i="13"/>
  <c r="G109" i="13"/>
  <c r="I109" i="13" s="1"/>
  <c r="J108" i="13"/>
  <c r="G108" i="13"/>
  <c r="I108" i="13" s="1"/>
  <c r="J107" i="13"/>
  <c r="G107" i="13"/>
  <c r="I107" i="13" s="1"/>
  <c r="J106" i="13"/>
  <c r="G106" i="13"/>
  <c r="I106" i="13" s="1"/>
  <c r="J105" i="13"/>
  <c r="I105" i="13"/>
  <c r="G105" i="13"/>
  <c r="H105" i="13" s="1"/>
  <c r="J104" i="13"/>
  <c r="G104" i="13"/>
  <c r="I104" i="13" s="1"/>
  <c r="J103" i="13"/>
  <c r="G103" i="13"/>
  <c r="I103" i="13" s="1"/>
  <c r="J102" i="13"/>
  <c r="G102" i="13"/>
  <c r="I102" i="13" s="1"/>
  <c r="J101" i="13"/>
  <c r="G101" i="13"/>
  <c r="I101" i="13" s="1"/>
  <c r="J100" i="13"/>
  <c r="G100" i="13"/>
  <c r="I100" i="13" s="1"/>
  <c r="J99" i="13"/>
  <c r="I99" i="13"/>
  <c r="G99" i="13"/>
  <c r="H99" i="13" s="1"/>
  <c r="J98" i="13"/>
  <c r="G98" i="13"/>
  <c r="I98" i="13" s="1"/>
  <c r="J97" i="13"/>
  <c r="G97" i="13"/>
  <c r="I97" i="13" s="1"/>
  <c r="J96" i="13"/>
  <c r="G96" i="13"/>
  <c r="I96" i="13" s="1"/>
  <c r="J95" i="13"/>
  <c r="G95" i="13"/>
  <c r="I95" i="13" s="1"/>
  <c r="J94" i="13"/>
  <c r="G94" i="13"/>
  <c r="I94" i="13" s="1"/>
  <c r="J93" i="13"/>
  <c r="I93" i="13"/>
  <c r="G93" i="13"/>
  <c r="H93" i="13" s="1"/>
  <c r="J92" i="13"/>
  <c r="I92" i="13"/>
  <c r="G92" i="13"/>
  <c r="H92" i="13" s="1"/>
  <c r="J91" i="13"/>
  <c r="G91" i="13"/>
  <c r="I91" i="13" s="1"/>
  <c r="J90" i="13"/>
  <c r="H90" i="13"/>
  <c r="G90" i="13"/>
  <c r="I90" i="13" s="1"/>
  <c r="J89" i="13"/>
  <c r="G89" i="13"/>
  <c r="I89" i="13" s="1"/>
  <c r="J88" i="13"/>
  <c r="G88" i="13"/>
  <c r="I88" i="13" s="1"/>
  <c r="J87" i="13"/>
  <c r="I87" i="13"/>
  <c r="G87" i="13"/>
  <c r="H87" i="13" s="1"/>
  <c r="J86" i="13"/>
  <c r="G86" i="13"/>
  <c r="I86" i="13" s="1"/>
  <c r="J85" i="13"/>
  <c r="G85" i="13"/>
  <c r="I85" i="13" s="1"/>
  <c r="J84" i="13"/>
  <c r="G84" i="13"/>
  <c r="I84" i="13" s="1"/>
  <c r="J83" i="13"/>
  <c r="G83" i="13"/>
  <c r="I83" i="13" s="1"/>
  <c r="J82" i="13"/>
  <c r="G82" i="13"/>
  <c r="I82" i="13" s="1"/>
  <c r="J81" i="13"/>
  <c r="G81" i="13"/>
  <c r="I81" i="13" s="1"/>
  <c r="J80" i="13"/>
  <c r="G80" i="13"/>
  <c r="I80" i="13" s="1"/>
  <c r="J79" i="13"/>
  <c r="G79" i="13"/>
  <c r="I79" i="13" s="1"/>
  <c r="J78" i="13"/>
  <c r="G78" i="13"/>
  <c r="I78" i="13" s="1"/>
  <c r="J77" i="13"/>
  <c r="I77" i="13"/>
  <c r="G77" i="13"/>
  <c r="H77" i="13" s="1"/>
  <c r="J76" i="13"/>
  <c r="G76" i="13"/>
  <c r="I76" i="13" s="1"/>
  <c r="J75" i="13"/>
  <c r="G75" i="13"/>
  <c r="I75" i="13" s="1"/>
  <c r="J74" i="13"/>
  <c r="G74" i="13"/>
  <c r="I74" i="13" s="1"/>
  <c r="J73" i="13"/>
  <c r="G73" i="13"/>
  <c r="I73" i="13" s="1"/>
  <c r="J72" i="13"/>
  <c r="I72" i="13"/>
  <c r="G72" i="13"/>
  <c r="H72" i="13" s="1"/>
  <c r="J71" i="13"/>
  <c r="G71" i="13"/>
  <c r="I71" i="13" s="1"/>
  <c r="J70" i="13"/>
  <c r="G70" i="13"/>
  <c r="I70" i="13" s="1"/>
  <c r="J69" i="13"/>
  <c r="G69" i="13"/>
  <c r="I69" i="13" s="1"/>
  <c r="J68" i="13"/>
  <c r="G68" i="13"/>
  <c r="I68" i="13" s="1"/>
  <c r="J67" i="13"/>
  <c r="G67" i="13"/>
  <c r="I67" i="13" s="1"/>
  <c r="J66" i="13"/>
  <c r="G66" i="13"/>
  <c r="I66" i="13" s="1"/>
  <c r="J65" i="13"/>
  <c r="G65" i="13"/>
  <c r="I65" i="13" s="1"/>
  <c r="J64" i="13"/>
  <c r="I64" i="13"/>
  <c r="H64" i="13"/>
  <c r="G64" i="13"/>
  <c r="J63" i="13"/>
  <c r="G63" i="13"/>
  <c r="I63" i="13" s="1"/>
  <c r="J62" i="13"/>
  <c r="G62" i="13"/>
  <c r="I62" i="13" s="1"/>
  <c r="J61" i="13"/>
  <c r="G61" i="13"/>
  <c r="I61" i="13" s="1"/>
  <c r="J60" i="13"/>
  <c r="G60" i="13"/>
  <c r="I60" i="13" s="1"/>
  <c r="J59" i="13"/>
  <c r="G59" i="13"/>
  <c r="I59" i="13" s="1"/>
  <c r="J58" i="13"/>
  <c r="I58" i="13"/>
  <c r="G58" i="13"/>
  <c r="H58" i="13" s="1"/>
  <c r="J57" i="13"/>
  <c r="I57" i="13"/>
  <c r="G57" i="13"/>
  <c r="H57" i="13" s="1"/>
  <c r="J56" i="13"/>
  <c r="I56" i="13"/>
  <c r="G56" i="13"/>
  <c r="H56" i="13" s="1"/>
  <c r="J55" i="13"/>
  <c r="G55" i="13"/>
  <c r="I55" i="13" s="1"/>
  <c r="J54" i="13"/>
  <c r="G54" i="13"/>
  <c r="I54" i="13" s="1"/>
  <c r="J53" i="13"/>
  <c r="G53" i="13"/>
  <c r="I53" i="13" s="1"/>
  <c r="J52" i="13"/>
  <c r="G52" i="13"/>
  <c r="I52" i="13" s="1"/>
  <c r="J51" i="13"/>
  <c r="G51" i="13"/>
  <c r="I51" i="13" s="1"/>
  <c r="J50" i="13"/>
  <c r="G50" i="13"/>
  <c r="I50" i="13" s="1"/>
  <c r="J49" i="13"/>
  <c r="G49" i="13"/>
  <c r="I49" i="13" s="1"/>
  <c r="J48" i="13"/>
  <c r="G48" i="13"/>
  <c r="I48" i="13" s="1"/>
  <c r="J47" i="13"/>
  <c r="G47" i="13"/>
  <c r="I47" i="13" s="1"/>
  <c r="J46" i="13"/>
  <c r="G46" i="13"/>
  <c r="I46" i="13" s="1"/>
  <c r="J45" i="13"/>
  <c r="G45" i="13"/>
  <c r="I45" i="13" s="1"/>
  <c r="J44" i="13"/>
  <c r="G44" i="13"/>
  <c r="I44" i="13" s="1"/>
  <c r="J43" i="13"/>
  <c r="G43" i="13"/>
  <c r="I43" i="13" s="1"/>
  <c r="J42" i="13"/>
  <c r="I42" i="13"/>
  <c r="G42" i="13"/>
  <c r="H42" i="13" s="1"/>
  <c r="J41" i="13"/>
  <c r="G41" i="13"/>
  <c r="I41" i="13" s="1"/>
  <c r="J40" i="13"/>
  <c r="G40" i="13"/>
  <c r="I40" i="13" s="1"/>
  <c r="J39" i="13"/>
  <c r="G39" i="13"/>
  <c r="I39" i="13" s="1"/>
  <c r="J38" i="13"/>
  <c r="G38" i="13"/>
  <c r="I38" i="13" s="1"/>
  <c r="J37" i="13"/>
  <c r="G37" i="13"/>
  <c r="I37" i="13" s="1"/>
  <c r="J36" i="13"/>
  <c r="G36" i="13"/>
  <c r="I36" i="13" s="1"/>
  <c r="J35" i="13"/>
  <c r="G35" i="13"/>
  <c r="I35" i="13" s="1"/>
  <c r="J34" i="13"/>
  <c r="G34" i="13"/>
  <c r="I34" i="13" s="1"/>
  <c r="J33" i="13"/>
  <c r="G33" i="13"/>
  <c r="I33" i="13" s="1"/>
  <c r="J32" i="13"/>
  <c r="G32" i="13"/>
  <c r="I32" i="13" s="1"/>
  <c r="J31" i="13"/>
  <c r="G31" i="13"/>
  <c r="I31" i="13" s="1"/>
  <c r="J30" i="13"/>
  <c r="G30" i="13"/>
  <c r="I30" i="13" s="1"/>
  <c r="J29" i="13"/>
  <c r="I29" i="13"/>
  <c r="G29" i="13"/>
  <c r="H29" i="13" s="1"/>
  <c r="J28" i="13"/>
  <c r="G28" i="13"/>
  <c r="I28" i="13" s="1"/>
  <c r="J27" i="13"/>
  <c r="G27" i="13"/>
  <c r="I27" i="13" s="1"/>
  <c r="J26" i="13"/>
  <c r="G26" i="13"/>
  <c r="I26" i="13" s="1"/>
  <c r="J25" i="13"/>
  <c r="G25" i="13"/>
  <c r="I25" i="13" s="1"/>
  <c r="J24" i="13"/>
  <c r="G24" i="13"/>
  <c r="I24" i="13" s="1"/>
  <c r="J23" i="13"/>
  <c r="G23" i="13"/>
  <c r="I23" i="13" s="1"/>
  <c r="J22" i="13"/>
  <c r="I22" i="13"/>
  <c r="G22" i="13"/>
  <c r="H22" i="13" s="1"/>
  <c r="J21" i="13"/>
  <c r="G21" i="13"/>
  <c r="I21" i="13" s="1"/>
  <c r="J20" i="13"/>
  <c r="G20" i="13"/>
  <c r="I20" i="13" s="1"/>
  <c r="J19" i="13"/>
  <c r="G19" i="13"/>
  <c r="I19" i="13" s="1"/>
  <c r="J18" i="13"/>
  <c r="G18" i="13"/>
  <c r="I18" i="13" s="1"/>
  <c r="J17" i="13"/>
  <c r="I17" i="13"/>
  <c r="G17" i="13"/>
  <c r="H17" i="13" s="1"/>
  <c r="J16" i="13"/>
  <c r="G16" i="13"/>
  <c r="I16" i="13" s="1"/>
  <c r="J15" i="13"/>
  <c r="G15" i="13"/>
  <c r="I15" i="13" s="1"/>
  <c r="J14" i="13"/>
  <c r="G14" i="13"/>
  <c r="I14" i="13" s="1"/>
  <c r="J13" i="13"/>
  <c r="G13" i="13"/>
  <c r="I13" i="13" s="1"/>
  <c r="J12" i="13"/>
  <c r="G12" i="13"/>
  <c r="I12" i="13" s="1"/>
  <c r="J11" i="13"/>
  <c r="G11" i="13"/>
  <c r="I11" i="13" s="1"/>
  <c r="J10" i="13"/>
  <c r="H10" i="13"/>
  <c r="G10" i="13"/>
  <c r="I10" i="13" s="1"/>
  <c r="J9" i="13"/>
  <c r="G9" i="13"/>
  <c r="I9" i="13" s="1"/>
  <c r="J8" i="13"/>
  <c r="G8" i="13"/>
  <c r="I8" i="13" s="1"/>
  <c r="J7" i="13"/>
  <c r="G7" i="13"/>
  <c r="I7" i="13" s="1"/>
  <c r="J6" i="13"/>
  <c r="G6" i="13"/>
  <c r="I6" i="13" s="1"/>
  <c r="J5" i="13"/>
  <c r="G5" i="13"/>
  <c r="H5" i="13" s="1"/>
  <c r="J4" i="13"/>
  <c r="G4" i="13"/>
  <c r="I4" i="13" s="1"/>
  <c r="J3" i="13"/>
  <c r="I3" i="13"/>
  <c r="G3" i="13"/>
  <c r="H3" i="13" s="1"/>
  <c r="J2" i="13"/>
  <c r="G2" i="13"/>
  <c r="D39" i="6"/>
  <c r="D30" i="14" s="1" a="1"/>
  <c r="D30" i="14" s="1"/>
  <c r="D5" i="14" s="1"/>
  <c r="H73" i="13" l="1"/>
  <c r="H114" i="13"/>
  <c r="H125" i="13"/>
  <c r="H41" i="13"/>
  <c r="H62" i="13"/>
  <c r="G19" i="14"/>
  <c r="H130" i="13"/>
  <c r="H23" i="13"/>
  <c r="H34" i="13"/>
  <c r="H75" i="13"/>
  <c r="H78" i="13"/>
  <c r="H6" i="13"/>
  <c r="G28" i="14"/>
  <c r="H70" i="13"/>
  <c r="H68" i="13"/>
  <c r="G18" i="14"/>
  <c r="G23" i="14"/>
  <c r="G26" i="14"/>
  <c r="G12" i="14"/>
  <c r="H12" i="13"/>
  <c r="H36" i="13"/>
  <c r="G22" i="14"/>
  <c r="H19" i="13"/>
  <c r="G9" i="14"/>
  <c r="G10" i="14"/>
  <c r="H47" i="13"/>
  <c r="H54" i="13"/>
  <c r="H66" i="13"/>
  <c r="G20" i="14"/>
  <c r="G24" i="14"/>
  <c r="G15" i="14"/>
  <c r="G17" i="14"/>
  <c r="H86" i="13"/>
  <c r="H95" i="13"/>
  <c r="G21" i="14"/>
  <c r="H151" i="13"/>
  <c r="G16" i="14"/>
  <c r="H28" i="13"/>
  <c r="G13" i="14"/>
  <c r="G14" i="14"/>
  <c r="H80" i="13"/>
  <c r="H138" i="13"/>
  <c r="H149" i="13"/>
  <c r="G25" i="14"/>
  <c r="G11" i="14"/>
  <c r="H49" i="13"/>
  <c r="H104" i="13"/>
  <c r="H164" i="13"/>
  <c r="I5" i="13"/>
  <c r="H11" i="13"/>
  <c r="H14" i="13"/>
  <c r="H33" i="13"/>
  <c r="H48" i="13"/>
  <c r="H79" i="13"/>
  <c r="H91" i="13"/>
  <c r="H109" i="13"/>
  <c r="H162" i="13"/>
  <c r="H18" i="13"/>
  <c r="H24" i="13"/>
  <c r="H46" i="13"/>
  <c r="H55" i="13"/>
  <c r="H63" i="13"/>
  <c r="H74" i="13"/>
  <c r="H89" i="13"/>
  <c r="H94" i="13"/>
  <c r="H100" i="13"/>
  <c r="H115" i="13"/>
  <c r="D9" i="14"/>
  <c r="H4" i="13"/>
  <c r="H37" i="13"/>
  <c r="H61" i="13"/>
  <c r="H69" i="13"/>
  <c r="H113" i="13"/>
  <c r="H150" i="13"/>
  <c r="H2" i="13"/>
  <c r="I2" i="13"/>
  <c r="H35" i="13"/>
  <c r="H50" i="13"/>
  <c r="H67" i="13"/>
  <c r="H85" i="13"/>
  <c r="H120" i="13"/>
  <c r="H137" i="13"/>
  <c r="H172" i="13"/>
  <c r="E9" i="14"/>
  <c r="F9" i="14"/>
  <c r="D27" i="14"/>
  <c r="I167" i="13"/>
  <c r="D11" i="14"/>
  <c r="D15" i="14"/>
  <c r="D19" i="14"/>
  <c r="D23" i="14"/>
  <c r="H9" i="13"/>
  <c r="H27" i="13"/>
  <c r="H32" i="13"/>
  <c r="H40" i="13"/>
  <c r="H45" i="13"/>
  <c r="H53" i="13"/>
  <c r="H60" i="13"/>
  <c r="H65" i="13"/>
  <c r="H83" i="13"/>
  <c r="H88" i="13"/>
  <c r="H98" i="13"/>
  <c r="H103" i="13"/>
  <c r="H108" i="13"/>
  <c r="H118" i="13"/>
  <c r="H123" i="13"/>
  <c r="H128" i="13"/>
  <c r="H133" i="13"/>
  <c r="H141" i="13"/>
  <c r="H146" i="13"/>
  <c r="H154" i="13"/>
  <c r="H159" i="13"/>
  <c r="H167" i="13"/>
  <c r="I170" i="13"/>
  <c r="D28" i="14"/>
  <c r="H175" i="13"/>
  <c r="H136" i="13"/>
  <c r="H170" i="13"/>
  <c r="D12" i="14"/>
  <c r="D16" i="14"/>
  <c r="D20" i="14"/>
  <c r="D24" i="14"/>
  <c r="H7" i="13"/>
  <c r="H15" i="13"/>
  <c r="H20" i="13"/>
  <c r="H25" i="13"/>
  <c r="H30" i="13"/>
  <c r="H38" i="13"/>
  <c r="H43" i="13"/>
  <c r="H51" i="13"/>
  <c r="H71" i="13"/>
  <c r="H76" i="13"/>
  <c r="H81" i="13"/>
  <c r="H96" i="13"/>
  <c r="H101" i="13"/>
  <c r="H106" i="13"/>
  <c r="H111" i="13"/>
  <c r="H116" i="13"/>
  <c r="H121" i="13"/>
  <c r="H131" i="13"/>
  <c r="H139" i="13"/>
  <c r="H152" i="13"/>
  <c r="H165" i="13"/>
  <c r="H173" i="13"/>
  <c r="F5" i="14"/>
  <c r="G5" i="14" s="1"/>
  <c r="H84" i="13"/>
  <c r="H124" i="13"/>
  <c r="H134" i="13"/>
  <c r="H142" i="13"/>
  <c r="H147" i="13"/>
  <c r="H155" i="13"/>
  <c r="H160" i="13"/>
  <c r="H168" i="13"/>
  <c r="D13" i="14"/>
  <c r="D17" i="14"/>
  <c r="D21" i="14"/>
  <c r="D26" i="14"/>
  <c r="H163" i="13"/>
  <c r="H171" i="13"/>
  <c r="H13" i="13"/>
  <c r="H8" i="13"/>
  <c r="H16" i="13"/>
  <c r="H21" i="13"/>
  <c r="H26" i="13"/>
  <c r="H31" i="13"/>
  <c r="H39" i="13"/>
  <c r="H44" i="13"/>
  <c r="H52" i="13"/>
  <c r="H59" i="13"/>
  <c r="H82" i="13"/>
  <c r="H97" i="13"/>
  <c r="H102" i="13"/>
  <c r="H107" i="13"/>
  <c r="H117" i="13"/>
  <c r="H122" i="13"/>
  <c r="H127" i="13"/>
  <c r="H132" i="13"/>
  <c r="H140" i="13"/>
  <c r="H145" i="13"/>
  <c r="H153" i="13"/>
  <c r="I156" i="13"/>
  <c r="D25" i="14"/>
  <c r="H158" i="13"/>
  <c r="H166" i="13"/>
  <c r="H174" i="13"/>
  <c r="D10" i="14"/>
  <c r="D14" i="14"/>
  <c r="D18" i="14"/>
  <c r="D22" i="14"/>
  <c r="H135" i="13"/>
  <c r="H143" i="13"/>
  <c r="H148" i="13"/>
  <c r="H156" i="13"/>
  <c r="H161" i="13"/>
  <c r="H169" i="13"/>
  <c r="D55" i="6"/>
  <c r="G29" i="14" l="1"/>
  <c r="G31" i="14" s="1" a="1"/>
  <c r="G31" i="14" s="1"/>
  <c r="H5" i="14"/>
  <c r="F14" i="14"/>
  <c r="E14" i="14"/>
  <c r="F20" i="14"/>
  <c r="E20" i="14"/>
  <c r="E15" i="14"/>
  <c r="F15" i="14"/>
  <c r="F16" i="14"/>
  <c r="E16" i="14"/>
  <c r="E11" i="14"/>
  <c r="F11" i="14"/>
  <c r="F10" i="14"/>
  <c r="E10" i="14"/>
  <c r="F12" i="14"/>
  <c r="E12" i="14"/>
  <c r="E25" i="14"/>
  <c r="F25" i="14"/>
  <c r="E27" i="14"/>
  <c r="F27" i="14"/>
  <c r="F22" i="14"/>
  <c r="E22" i="14"/>
  <c r="F26" i="14"/>
  <c r="E26" i="14"/>
  <c r="F18" i="14"/>
  <c r="E18" i="14"/>
  <c r="E21" i="14"/>
  <c r="F21" i="14"/>
  <c r="E17" i="14"/>
  <c r="F17" i="14"/>
  <c r="F28" i="14"/>
  <c r="E28" i="14"/>
  <c r="E23" i="14"/>
  <c r="F23" i="14"/>
  <c r="E13" i="14"/>
  <c r="F13" i="14"/>
  <c r="F24" i="14"/>
  <c r="E24" i="14"/>
  <c r="E19" i="14"/>
  <c r="F19" i="14"/>
  <c r="D29" i="14"/>
  <c r="C5" i="14" l="1"/>
  <c r="D31" i="14"/>
  <c r="E5" i="14" s="1"/>
  <c r="F29" i="14"/>
  <c r="E29"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<sst xmlns="http://schemas.openxmlformats.org/spreadsheetml/2006/main" count="1528" uniqueCount="742">
  <si>
    <t>Obra</t>
  </si>
  <si>
    <t>Data</t>
  </si>
  <si>
    <t>Descrição</t>
  </si>
  <si>
    <t>Preço total</t>
  </si>
  <si>
    <t>Montagem</t>
  </si>
  <si>
    <t>Exploração</t>
  </si>
  <si>
    <t>Desmontagem</t>
  </si>
  <si>
    <t xml:space="preserve">Execução e desenvolvimento do Plano de Resíduos na Construção, de acordo com a legislação em vigor, incluindo tratamento, valorização e transporte a vazadouro autorizado dos resíduos da construção. </t>
  </si>
  <si>
    <t xml:space="preserve">Execução e desenvolvimento do Plano de Segurança e Saúde, de acordo com legislação em vigor. </t>
  </si>
  <si>
    <t>Montagem, exploração e desmontagem de Estaleiro, incluindo todos os custos relativos ao apoio e acompanhamento.</t>
  </si>
  <si>
    <t>1.</t>
  </si>
  <si>
    <t xml:space="preserve">Execução de demolição geral dos edificios existentes incluindo transporte a vazadouro dos materiais sobrantes. </t>
  </si>
  <si>
    <t>2.</t>
  </si>
  <si>
    <t>ESTALEIRO</t>
  </si>
  <si>
    <t>DEMOLIÇÕES</t>
  </si>
  <si>
    <t>MOVIMENTO DE TERRAS</t>
  </si>
  <si>
    <t>2.1</t>
  </si>
  <si>
    <t>Escavação geral em terreno de qualquer natureza para abertura da caixa do pavimento terreo da cave, incluindo entivação, escoramentos, escoanento de águas, compactação da base, posterior aterro de encosto aos elementos estruturais, rega, compactação, limpeza e transporte para vazadouro das terras sobrantes, de acordo com os desenhos. Analisar viabilidade de vazadouro total ou parcial no tardoz do terreno em talude.</t>
  </si>
  <si>
    <t>(considerado material escavável a balde)</t>
  </si>
  <si>
    <t>(não havendo informação sobre o terreno, considera-se a área da garagem com 3m de
altura média)</t>
  </si>
  <si>
    <t/>
  </si>
  <si>
    <t>Escavação em terreno de qualquer natureza para abertura de caboucos de fundações de sapatas de muros, linteis, paredes, escadas e poços de elevador, incluindo entivação, escoramentos, escoamento de águas, compactação da base, posterior aterro de encosto aos elementos estruturais, rega, compactação, limpeza e transporte para vazadouro das terras sobrantes, de acordo com os desenhos.</t>
  </si>
  <si>
    <t>Aterro com material proveniente da escavação ou de empréstimo, para enchimento de taludes ou plataformas dos arranjos exteriores, executado por camadas devidamente compactadas, tudo conforme desenhos e descrição do Caderno de Encargos.</t>
  </si>
  <si>
    <t>3.</t>
  </si>
  <si>
    <t>ESTRUTURA DE BETÃO ARMADO</t>
  </si>
  <si>
    <t>3.1</t>
  </si>
  <si>
    <t>Fornecimento e aplicação de betão de limpeza e regularização, do tipo C16/20, numa camada de aproximadamente 10cm de espessura, incluindo todos os trabalhos e materiais nescessários.</t>
  </si>
  <si>
    <t>3.2</t>
  </si>
  <si>
    <t>Fornecimento e aplicação de betão em elementos de fundação, do tipo C30/37, incluindo cofragem e descofragem dos elementos, fornecimento, corte, moldagem e aplicação de armaduras do tipo A500NR e todos os trabalhos e materiais nescessários ao cumprimento do projecto de execução, nos seguintes elementos:</t>
  </si>
  <si>
    <t>Sapatas Isoladas</t>
  </si>
  <si>
    <t>Sapatas muros</t>
  </si>
  <si>
    <t>Vigas lintel</t>
  </si>
  <si>
    <t>Vigas de equilibrio</t>
  </si>
  <si>
    <t>3.3</t>
  </si>
  <si>
    <t>Fornecimento e aplicação de betão em estrutura, do tipo C30/37, incluindo cofragem e descofragem dos elementos, fornecimento, corte, moldagem e aplicação de armaduras do tipo S500 e todos os trabalhos e materiais nescessários ao cumprimento do projecto de execução, nos seguintes elementos:</t>
  </si>
  <si>
    <t>Muros</t>
  </si>
  <si>
    <t>Pilares</t>
  </si>
  <si>
    <t>Vigas</t>
  </si>
  <si>
    <t>Escadas</t>
  </si>
  <si>
    <t>Lajes maciças</t>
  </si>
  <si>
    <t>(considerada laje da rampa da garagem)</t>
  </si>
  <si>
    <t>Fornecimento e execução de pavimento da garagem, em betão com acabamento industrial, incluindo regularização do terreno, Tout-venant de 0,20 cm, betão armado de 12 cm e malhasol.</t>
  </si>
  <si>
    <t>Estrutura Metálica</t>
  </si>
  <si>
    <t>Execução e aplicação de pilares em elementos metálicos em perfis tubulares em aço decapados e chapas, com protecção anti-corrosiva e demão de tinta de acabamento, de acordo com as peças desenhadas e caderno de encargos, necessários a sua boa execução,aplicação, funcionamento e acabamento.</t>
  </si>
  <si>
    <t>HE160 A</t>
  </si>
  <si>
    <t>4.</t>
  </si>
  <si>
    <t>ALVENARIAS</t>
  </si>
  <si>
    <t>4.1</t>
  </si>
  <si>
    <t>4.2</t>
  </si>
  <si>
    <t>4.3</t>
  </si>
  <si>
    <t>4.4</t>
  </si>
  <si>
    <t>4.5</t>
  </si>
  <si>
    <t>Fornecimento e execução de paredes exteriores, em bloco térmico do tipo termo acustico 25 da Artebel ou equivalente com 25cm de espessura, incluindo todos os trabalhos e materiais nescessários.</t>
  </si>
  <si>
    <t>Fornecimento e execução de paredes exteriores, em bloco térmico do tipo termo acustico 20 da Artebel ou equivalente com 20cm de espessura, incluindo todos os trabalhos e materiais nescessários.</t>
  </si>
  <si>
    <t>Paredes interiores da cave em Bloco de cimento 50x20x15 face a vista, incluindo todos os trabalhos e materiais nescessários.</t>
  </si>
  <si>
    <t>Fornecimento e execução de paredes interiores entre apartamentos e entre apartamentos e zonas comuns, em bloco térmico do tipo termo acustico 25 da Artebel ou equivalente com 25cm de espessura, incluindo todos os trabalhos e materiais nescessários.</t>
  </si>
  <si>
    <t>Fornecimento e execução de paredes tapa-vistas em alvenaria de tijolo/bloco de 10cm, incluindo revestimento tipo RDAe todos os trabalhos necessários.</t>
  </si>
  <si>
    <t>Fornecimento e instalação de cassonetos para portas interiores de correr, incluindo todos os materiais e trabalhos necessários.</t>
  </si>
  <si>
    <t>5.</t>
  </si>
  <si>
    <t>COBERTURA</t>
  </si>
  <si>
    <t>5.1</t>
  </si>
  <si>
    <t>5.2</t>
  </si>
  <si>
    <t>Idem com pavimento em lajetas de cimento</t>
  </si>
  <si>
    <t>5.3</t>
  </si>
  <si>
    <t>Fornecimento e execução de coberturas inclinadas composta por camada de regularização em betonilha, subtelha, telha cerâmico tipo Lusa, incluindo cumes, peças de beirado e de remate e todos os trabalhos necessários de acordo com as normas do fabricante e especificações técnicas.</t>
  </si>
  <si>
    <t>5.4</t>
  </si>
  <si>
    <t>Fornecimento e execução de elementos em zinco 12 natural, incluindo dobras, soldas fixações, tela pitonada de assentamento e todos os materiais necessários ao seu adequado funcionamento:</t>
  </si>
  <si>
    <t>rufo de topo das coberturas</t>
  </si>
  <si>
    <t>caleira de encosto de telhados com cotas diferentes e de encontro de águas</t>
  </si>
  <si>
    <t>rufo de topo das janelas das mansardas</t>
  </si>
  <si>
    <t>Fornecimento e execução de chaminés em alvenaria com cerca de 1m e meio de altura com acabamento areado e pintado, incluindo todos os trabalhos necessários.</t>
  </si>
  <si>
    <t>5.5</t>
  </si>
  <si>
    <t>6.</t>
  </si>
  <si>
    <t>IMPERMEABILIZAÇÕES E ISOLAMENTOS</t>
  </si>
  <si>
    <t>6.1</t>
  </si>
  <si>
    <t>Fornecimento e execução de impermeabilização de pavimentos devarandas, incluindo betonilha de regularização,telas asfálticas de 3kg+4kg,e betonilha de protecção pronta a receber acabamento final.</t>
  </si>
  <si>
    <t>6.2</t>
  </si>
  <si>
    <t>Fornecimento e aplicação de isolamento XPS com 6cm de espessura, entrepavimentos de apartamentos do piso 1 e garagem da cave -1, incluindo betonilha de regularização, bem como todos os trabalhos necessários à sua perfeita execução.</t>
  </si>
  <si>
    <t>Alternativa em manta Boltherm sobre laje de betão</t>
  </si>
  <si>
    <t>6.3</t>
  </si>
  <si>
    <t>Fornecimento e execução de impermeabilização de pavimentos de wc, com argamassa cimentícia do tipo Mapelastic.</t>
  </si>
  <si>
    <t>REVESTIMENTOS EXTERIORES</t>
  </si>
  <si>
    <t>7.</t>
  </si>
  <si>
    <t>Paredes</t>
  </si>
  <si>
    <t>7.1</t>
  </si>
  <si>
    <t>Fornecimento e execução de revestimento exterior tipo Etics, composto por isolamento térmico em EPS de 60mm, aplicado sobre a alvenaria, camada de base de argamassa reforçada com fibra de vidro e camada de revestimento final em cor a escolher, incluindo todos os trabalhos e materiais necessários ao seu adequado acabamento.</t>
  </si>
  <si>
    <t>7.2</t>
  </si>
  <si>
    <t>Idem em tectos das varandas.</t>
  </si>
  <si>
    <t>7.3</t>
  </si>
  <si>
    <t>Fornecimento e execução de revestimento em pedra tipo Vila Real, em pedras de 60x40x1, aplicado sobre revestimento de Etics, na zona da cave e r/c no alçado principal.</t>
  </si>
  <si>
    <t xml:space="preserve"> Fornecimento e execução de revestimento em pedra bujardada tipo Vila Real, de 3cm de espessura em:</t>
  </si>
  <si>
    <t xml:space="preserve"> Rebordo de vãos</t>
  </si>
  <si>
    <t>Separação de pisos</t>
  </si>
  <si>
    <t xml:space="preserve"> Esquinas dos edifícios</t>
  </si>
  <si>
    <t>Alternativa em reforço de Etics, mais saliente e em cor diferente</t>
  </si>
  <si>
    <t xml:space="preserve"> Fornecimento e execução de revestimento exterior em soletos incluindo ripado vertical e horizontal, isolamento térmico e todos os trabalhos necessários.</t>
  </si>
  <si>
    <t>Alternativa em Etics de 60mm, aplicado sobre alvenaria, em cor a escolher.</t>
  </si>
  <si>
    <t>8.</t>
  </si>
  <si>
    <t xml:space="preserve"> REVESTIMENTOS INTERIORES</t>
  </si>
  <si>
    <t>8.1</t>
  </si>
  <si>
    <t xml:space="preserve"> Fornecimento e execução de regularização de portais para fixação de caixilharia se portas de entrada de apartamentos, incluindo todos os materiais e trabalhos nescessários.</t>
  </si>
  <si>
    <t>8.2</t>
  </si>
  <si>
    <t>Revestimento de paredes interiores de alvenaria, em zonas humidas, para posteior aplicação de cerâmico, com reboco de argamassa de cimento para receber revestimento final.</t>
  </si>
  <si>
    <t>Fornecimento e execução de reboco de paredes interiores de alvenaria, com acabamento areado (interior de escadas de todo o edificio), incluindo todos os trabalhos e materiais necessários à sua boa execução e acabamento, incluindo pintura.</t>
  </si>
  <si>
    <t>8.4</t>
  </si>
  <si>
    <t>Idem nas paredes da garagem caso se entenda como necessário.</t>
  </si>
  <si>
    <t>8.5</t>
  </si>
  <si>
    <t>Parede em pladur standard de placa dupla de 13mm em cada face com isolamento termico em lã mineral.</t>
  </si>
  <si>
    <t>Parede em pladur hidrófugo de placa dupla de 13mm em cada face com isolamento termico em lã mineral.</t>
  </si>
  <si>
    <t>Parede em pladur de placa dupla de 13mm em cada face, uma face hidrófuga e outra standard, com isolamento termico em lã mineral.</t>
  </si>
  <si>
    <t>Revestimento final de paredes de alvenaria, interior de apartamentos e zonas comuns, para posterior pintura, em gesso projectado, incluindo todos os trabalhos e materiais necessários.</t>
  </si>
  <si>
    <t>Revestimento final em paredes de cozinhas e wc ́s em material cerâmico, incluindo todos os materiais e trabalhos necessários ao seu adequado acabamento.</t>
  </si>
  <si>
    <t>(considerado cerâmico até 15€/m2)</t>
  </si>
  <si>
    <t>Pavimentos</t>
  </si>
  <si>
    <t>Fornecimento e execução de betonilha de enchimento/regularização, em pavimentos interiores de apartamentos e zonas comuns, incluindo tela Impactodam de 10mm e todos os materiais a trabalhos necessários ao seu adequado acabamento.</t>
  </si>
  <si>
    <t>Fornecimento e assentamento de pavimento flutuante do tipo Vinílico Parador Classico, incluindo todos os trabalhos de assentamento, encaixe, corte e remate de acordo com o CE.</t>
  </si>
  <si>
    <t>(considerado pavimento flutuante laminado SWISS Floors Noblesse V4 I V4 Brilliant AC4 espessura de 8mm)</t>
  </si>
  <si>
    <t>Fornecimento e aplicação de material cerâmico, incluindo todos os materiais e trabalhos necessários ao seu adequado acabamento em:</t>
  </si>
  <si>
    <t>Cozinhas e wc's</t>
  </si>
  <si>
    <t>Zonas Comuns</t>
  </si>
  <si>
    <t>Varandas</t>
  </si>
  <si>
    <t>Fornecimento e aplicação de perfil de separação de pavimentos entre vinílico e cerâmico.</t>
  </si>
  <si>
    <t>Fornecimento e aplicação de rodapé em material cerâmico, com cerca de 10cm de altura, incluindo todos os materiais e trabalhos necessários ao seu adequado acabamento em:</t>
  </si>
  <si>
    <t>wc's</t>
  </si>
  <si>
    <t>Zonas comuns</t>
  </si>
  <si>
    <t>Varandas e terraços</t>
  </si>
  <si>
    <t>Cozinhas</t>
  </si>
  <si>
    <t>Fornecimento e aplicação de revestimento de escadas, em material cerâmico em peças inteiras nos degraus e peças compatíveis em patamares, incluindo rodapé no mesmo material e todos os trabalhos e materiais necessários ao seu adequado acabamentos.</t>
  </si>
  <si>
    <t>Fornecimento e aplicação de revestimento de escadas de entrada do edifício, em granito Vila Real em peças inteiras nos degraus e peças compatíveis em patamares, incluindo rodapé no mesmo material e todos os trabalhos e materiais necessários ao seu adequado acabamentos.</t>
  </si>
  <si>
    <t>Tectos</t>
  </si>
  <si>
    <t>Fornecimento e execução tecto falso em gesso cartonado, no interior dos apartamentos e zonas comuns, constituido por estrutura de suporte e 1 placa satandard, incluindo isolamento térmico de lã mineral de 70mm, 40kg/m3 e todos os trabalhos e materiais necessários ao seu adequado acabamento.</t>
  </si>
  <si>
    <t>Idem em wc's com placa hidrófuga.</t>
  </si>
  <si>
    <t>Fornecimento e execução de reboco de argamassa de cimento, com acabamento areado, nos tectos de escadas, incluindo todos os materiais e trabalhos necessários.</t>
  </si>
  <si>
    <t>Alternativa do tecto em betão com ligeira limpeza</t>
  </si>
  <si>
    <t>Fornecimento e execução de reboco de argamassa de cimento, com acabamento areado, no tecto da garagem, incuindo todos os materiais e trabalhos necessários.</t>
  </si>
  <si>
    <t>(caso se entenda como necessário)</t>
  </si>
  <si>
    <t>9.</t>
  </si>
  <si>
    <t>9.1</t>
  </si>
  <si>
    <t>Fornecimento e aplicação de pintura com tinta de base aquosa, no interior das habitações, sobre gesso cartonado ou gesso projectado, incluindo todos os materiais e trabalhos necessários ao seu adequado acabamento.</t>
  </si>
  <si>
    <t>9.2</t>
  </si>
  <si>
    <t>Fornecimento e aplicação de pintura com tinta de base aquosa, sobre reboco areado, incluindo todos os materiais e trabalhos necessários ao seu adequado acabamento.</t>
  </si>
  <si>
    <t>9.3</t>
  </si>
  <si>
    <t>Idem nos tectos das escadas sobre reboco areado ou sobre betão.</t>
  </si>
  <si>
    <t>9.4</t>
  </si>
  <si>
    <t>Idem em tecto de garagem directamente no betão.</t>
  </si>
  <si>
    <t>9.5</t>
  </si>
  <si>
    <t>9.6</t>
  </si>
  <si>
    <t>Fornecimento e execução de marcação dos lugares de garagem, conforme projecto de arquitectura.</t>
  </si>
  <si>
    <t>10.</t>
  </si>
  <si>
    <t>10.1</t>
  </si>
  <si>
    <t>10.2</t>
  </si>
  <si>
    <t>11.</t>
  </si>
  <si>
    <t>SERRALHARIAS</t>
  </si>
  <si>
    <t>PINTURAS</t>
  </si>
  <si>
    <t>CANTARIAS</t>
  </si>
  <si>
    <t>Fornecimento e aplicação de soleiras e peitoris, em pedra de granito tipo Vila Real, de 30mm de espessura, incluindo todos os materiais e trabalhos necessários ao seu adequado acabamento.</t>
  </si>
  <si>
    <t>Fornecimento e aplicação de chapim em pedra de granito tipo Vila Real, de 20mm de espessura e 10cm de largura, nos topos dos pavimentos das varandas, incluindo todos os materiais e trabalhos necessários ao seu adequado acabamento.</t>
  </si>
  <si>
    <t>Serralharia de alumínio</t>
  </si>
  <si>
    <t>Fornecimento e instalação de caixilharia de alumínio com corte térmico, tipo Anicolor série CT (em vãos de correr) ou série AJI (em vãos de abrir), com vidro Planiclear 600, Planitherm 4S + caixa argon 14mm + Planiclerar 3mm, PVB Standard, Planiclear 3mm, em:</t>
  </si>
  <si>
    <t>11.1</t>
  </si>
  <si>
    <t>vãos de correr</t>
  </si>
  <si>
    <t>vãos de abrir</t>
  </si>
  <si>
    <t>vãos de correr e abrir</t>
  </si>
  <si>
    <t>11.2</t>
  </si>
  <si>
    <t>Fornecimento e instalação de caixas de correio, em local a definir, incluindo todos os materiais e trabalhos necessários.</t>
  </si>
  <si>
    <t>Fornecimento e colocação de chapa lacada a tapar a abertura do estore e ombreiras dos vãos, com o alumínio alinhado pela face interior da parede, não se utilizando apainelados pelo interior.</t>
  </si>
  <si>
    <t>Serralharia de ferro</t>
  </si>
  <si>
    <t>Fornecimento e instalação de portões exteriores, em chapa de ferro tratado e pintado, incluindo todos os materiais a trabalhos necessários ao seu adequado funcionamento e acabamento.</t>
  </si>
  <si>
    <t>Portão de acesso automóvel, com 3ml de largura de abrir por 2,40</t>
  </si>
  <si>
    <t>Fornecimento e eplicação de guarda de ferro, com 90cm de altura, em ferro tratado e pintado constituidas por passa-mão superior em barra chata de 40x10mm2, prumos verticais em barra chata de 30x6mm2, espaçados de 10cm, barra inferior de 40x10mm2 (colocada a cerca de 10cm do pavimento) e fixações ao pavimento em barra igual ás verticais com espaçamento de aproximadamente 60cm</t>
  </si>
  <si>
    <t>Fornecimento e execução de guarda de escadas, com 90cm de altura, em ferro tratado e pintado constituidas por passa-mão superior em tubolar de 40mm, perfis intermédios (a cerca de 30 e 60cm de altura) em tubolar de 25mm e prumos em barra chara de 40x10mm2, com fixação ao pavimento, espaçados em cerca de 1m.</t>
  </si>
  <si>
    <t>CARPINTARIAS</t>
  </si>
  <si>
    <t>Fornecimento e instalação de portas interiores de batente, de entrada de apartamentos do tipo Dierre modelo Split Ei 60 de um batente incluindo todos os materiais e trabalhos necessários.</t>
  </si>
  <si>
    <t>12.1</t>
  </si>
  <si>
    <t>12.1.1</t>
  </si>
  <si>
    <t>Porta 0,90x2,20</t>
  </si>
  <si>
    <t>12.2</t>
  </si>
  <si>
    <t>Fornecimento e instalação de portas interiores de apartamentos, com acabamento lacado industrial, incluindo todos os materiais e trabalhos necessários.</t>
  </si>
  <si>
    <t>De batente 0,80x2,00</t>
  </si>
  <si>
    <t>De correr 0,80x2,00</t>
  </si>
  <si>
    <t>12.3</t>
  </si>
  <si>
    <t>Fornecimento e execução de armários roupeiros, com 60cm de profundidade, com acabamento exterior lacado industrial e interior em melamina tipo linho, incluindo todos os materiais e trabalhos necessários.</t>
  </si>
  <si>
    <t>12.4</t>
  </si>
  <si>
    <t>Fornecimento e execução de armários de arrumação, nas zonas de circulação dos apartamentos, incluindo portas similares aos roupeiros e divisão interior conforme especificações das espacialidades.</t>
  </si>
  <si>
    <t>12.5</t>
  </si>
  <si>
    <t>Fornecimento e execução de armários de contadores das zonas comuns, incluindo portas similares aos roupeiros e divisão interior conforme especificações das espacialidades.</t>
  </si>
  <si>
    <t>12.6</t>
  </si>
  <si>
    <t>Fornecimento e execução de moveis de lavandaria e arrumos, incluindo portas similares aos roupeiros e divisão interior conforme especificações das espacialidades.</t>
  </si>
  <si>
    <t>Fornecimento e execução de móveis de cozinha, com acabamento exterior pintado e interior em melamina branca, incluindo tampo em compacto de pedra tipo Silestone, pio em inox e respectiva torneira e todos os materiais e trabalhos necessários, em:</t>
  </si>
  <si>
    <t>Móvel de parede e ilha.</t>
  </si>
  <si>
    <t>Fornecimento e instalação de móveis de wc com acabamento exterior lacado industrial e interior em melamina branca, incluindo tampo em pedra tipo Pedras Salgadas de 20mm, estrutura de suporte e todos os materiais e trabalhos necessários.</t>
  </si>
  <si>
    <t>Fornecimento e aplicação de rodape em madeira, com 12x75mm, com acabamento pintado, incluindo todos os trabalhos necessários.</t>
  </si>
  <si>
    <t>Fornecimento e aplicação de revestimento em escadas interiores em madeira idêntica ao pavimento, incluindo todos os trabalhos necessários.</t>
  </si>
  <si>
    <t>Fornecimento e execução de guarda de escadas interiores dos apartamentos, em madeira identica á do revestimento da escada.</t>
  </si>
  <si>
    <t>13.</t>
  </si>
  <si>
    <t>LOUÇAS SANITÁRIAS E ACESSÓRIOS</t>
  </si>
  <si>
    <t>13.1</t>
  </si>
  <si>
    <t>Fornecimento e assentamento de loiças sanitárias, incluindo torneiras e todos os acessórios para o seu funcionamento, ligações, fixações, materiais e todos os trabalhos complementares.</t>
  </si>
  <si>
    <t>13.2</t>
  </si>
  <si>
    <t>Lavatório Novelda Plus 50 BR.</t>
  </si>
  <si>
    <t>Sanita URB. Susp.52 RIMFLUSH fixação com tampa de sanita urb. Y cr Branco.</t>
  </si>
  <si>
    <t>Base de duche Moraira Branco.</t>
  </si>
  <si>
    <t>0,80x0,80</t>
  </si>
  <si>
    <t>0,70x1,50</t>
  </si>
  <si>
    <t>0,80x1,50</t>
  </si>
  <si>
    <t>0,80x1,80</t>
  </si>
  <si>
    <t>0,80x2,00</t>
  </si>
  <si>
    <t>Torneira Cetus Basic misturadora.</t>
  </si>
  <si>
    <t>Torneira CETUS BASIC misturadora base de duche.</t>
  </si>
  <si>
    <t>Luxe toalheiro 60 cm CR.</t>
  </si>
  <si>
    <t>Luxe Piaçava CR.</t>
  </si>
  <si>
    <t>Luxe Porta-rolos</t>
  </si>
  <si>
    <t>Fornecimento e colocação de vidro fixo, temperado para resguardo nos chuveiros, espessura 10 mm, incluindo ferragens e todos os acessórios necessários.</t>
  </si>
  <si>
    <t>14.</t>
  </si>
  <si>
    <t>DIVERSOS</t>
  </si>
  <si>
    <t>14.1</t>
  </si>
  <si>
    <t>Fornecimento e montagem de elevador da Orona, com capacidade para 8 pcs (630kg), incuindo todos os trabalhos e materiais necessários.</t>
  </si>
  <si>
    <t>14.2</t>
  </si>
  <si>
    <t>15.</t>
  </si>
  <si>
    <t>INSTALAÇÕES ELÉCTRICAS</t>
  </si>
  <si>
    <t>15.1</t>
  </si>
  <si>
    <t>Fornecimento e execução de Instalações Electricas e de ITED, de acordo com os elementos fornecidos, em 26 fracções incluindo zonas comuns e garagens.</t>
  </si>
  <si>
    <t>16.</t>
  </si>
  <si>
    <t>INSTALAÇÕES HIDRÁULICAS</t>
  </si>
  <si>
    <t>16.1</t>
  </si>
  <si>
    <t>17.</t>
  </si>
  <si>
    <t>INSTALAÇÕES MECÂNICAS</t>
  </si>
  <si>
    <t>Fornecimento e execução de Instalações Hidráulicas, de acordo com os elementos fornecidos, em:</t>
  </si>
  <si>
    <t>Acessórios para contador totalizador e 25 contadores</t>
  </si>
  <si>
    <t>Fornecimento e instalação de Bombas de Calor para AQS, incluindo tubagem de água e instalação eléctrica necessárias ao seu funcionamento.</t>
  </si>
  <si>
    <t>Rede de Esgotos em tubo PVC PN4</t>
  </si>
  <si>
    <t>Rede águas pluviais, a executar pelo exterior do edifício, incluindo, saídas de água, tubos de queda, tubagem suspensa e ligações ao exterior do edifício.</t>
  </si>
  <si>
    <t>Rede de escoamento da garagem, incuindo caixas com grelha, caleira com grelha e toda a tubagem necessária.</t>
  </si>
  <si>
    <t>(não se prevê sistema de bombagem)</t>
  </si>
  <si>
    <t>Fornecimento e instalação de estores eléctricos, incluindo todos os materiais e trabalhos necessários ao seu adequado funcionamento.</t>
  </si>
  <si>
    <t>Fornecimento e colocação de electrodomésticos, incluindo todas as ligações, materiais e trabalhos necessários ao seu adequado funcionamento.</t>
  </si>
  <si>
    <t>placa de fogão Bosch PIE611BB5E</t>
  </si>
  <si>
    <t>Exaustor Integrado Bosch serie 2 DFT63AC50 59,8X29 CM</t>
  </si>
  <si>
    <t>forno Bosch HBA574BB3</t>
  </si>
  <si>
    <t>micro-ondas Encastre Bosch BEL523MSO 20 L</t>
  </si>
  <si>
    <t>Frigorifico Serie 4 Combinado de instalação livre 203x60 cm aço antidedadas Bosch KGN39VIBT</t>
  </si>
  <si>
    <t>Máquina de Lavar Loiça BOSCH SMS4EKI06E</t>
  </si>
  <si>
    <t>Serie 4 Máquina de Lavar/Secar 9/5 Kg 1400 rpm Bosch WNA1341XES</t>
  </si>
  <si>
    <t>Apoio de construção Civil as restantes especialidades, nomeadamente abertura e tapamento de roços, execução do interior dos armários técnicos e outros trabalhos necessários.</t>
  </si>
  <si>
    <t>Execução de limpeza de final de obra</t>
  </si>
  <si>
    <t>17.1</t>
  </si>
  <si>
    <t>18.</t>
  </si>
  <si>
    <t>18.1</t>
  </si>
  <si>
    <t>18.2</t>
  </si>
  <si>
    <t>19.</t>
  </si>
  <si>
    <t>SEGURANÇA CONTRA INCÊNDIOS</t>
  </si>
  <si>
    <t>INFRAESTRUTURAS, ARRANJOS EXTERIORES e DOMÍNIO PÚBLICO</t>
  </si>
  <si>
    <t>Fornecimento e execução de sistema de ventilação de cozinhas e wc's, incluindo tubagem spiro, grelhas de entrada e saída, ligações flexiveis e ventiladores helicoidais na cobertura.</t>
  </si>
  <si>
    <t>Fornecimento e execução de sistema de climatização constuida por UI's em quartos e salas e 1UE/ap para os apartamentos T1 ou 2UE/ap para os apartamentos, T2 e T3, incluindo todas as instalações necessárias.</t>
  </si>
  <si>
    <t>Fornecimento e montagem de portas corta fogo 60min de batente standart, incluindo todos os trabalhos necessários.</t>
  </si>
  <si>
    <t>Fornecimento e execução de SCI, incluindo 6 extintores, grelhas de ventilação, centrais de incêndio e de CO e sistema de sinalização.</t>
  </si>
  <si>
    <t>Infraestruturas</t>
  </si>
  <si>
    <t>Arranjos exteriores</t>
  </si>
  <si>
    <t>19.1</t>
  </si>
  <si>
    <t>19.2</t>
  </si>
  <si>
    <t>Fornecimento e aplicação de lancis cimento, de 8cm, de separação entre zonas de circulação e canteiros/jardim, incluindo maciço de assentanto e todos os materiais e trabalhos necessários.</t>
  </si>
  <si>
    <t>Fornecimento e execução de zonas verdes, constituidas por camada de terra vegatal com cerca de 30cm e relva ou prado de sequeiro.</t>
  </si>
  <si>
    <t>Fornecimento e execução de pavimento em pedra de chão hexagonal/betonilha esquartelada, no passeio e rampa de acesso, incluindo todos os trabalhos necessários.</t>
  </si>
  <si>
    <t>Fornecimento e execução de caleira e grelha de jardim.</t>
  </si>
  <si>
    <t>Fornecimento e execução de Muro Exterior em bloco de cimento de 50x20x20.</t>
  </si>
  <si>
    <t>TOTAL</t>
  </si>
  <si>
    <t>Notas:</t>
  </si>
  <si>
    <t>A proposta não prevê betão branco, nem betão cinza para ficar aparente. Caso se pretenda uma destas soluções os valores terão que ser negociados.</t>
  </si>
  <si>
    <t>Em muros de encosto, dado o necessário acrescimo de escoramento, o valor de cofragem é equivalente a duas faces.</t>
  </si>
  <si>
    <t>A proposta prevê os EPI's e EPC ́s necessários ao desenvolvimento dos trabalhos elencados.</t>
  </si>
  <si>
    <t>Não havendo dados sobre o terreno a proposta considera o arranque de pilares e muros logo abaixo da cota de piso da arquitectura.</t>
  </si>
  <si>
    <t>É da responsabilidade do Dono de Obra garantir o acesso para entrada e saída de materiais e equipamentos.</t>
  </si>
  <si>
    <t>A proposta não prevê quaisquer custos com licenciamentos, policiamentos similares que se revelem necessários para o normal desenvolvimento dos trabalhos previstos.</t>
  </si>
  <si>
    <t>A proposta prevê o revestimento exterior em sistema tipo Etics, em côr ou cores a escolher pelo cliente, dentro das cores aconselhadas pelos fornecedores.</t>
  </si>
  <si>
    <t>Não havendo informação sobre a especialidade, a proposta não prevê a execução de rede de gás.</t>
  </si>
  <si>
    <t>Dada a existencia de uma grua junto ao edifício que impossiblita a montagem de grua, a proposta fica condicionada á saída da grua existente.</t>
  </si>
  <si>
    <t>A proposta é válida em regime de Valor Global.</t>
  </si>
  <si>
    <t>A proposta prevê a execução dos trabalhos no prazo de aproximadamente 18 meses.</t>
  </si>
  <si>
    <t>A proposta é válida pelo periodo do 30 dias.</t>
  </si>
  <si>
    <t>Cliente</t>
  </si>
  <si>
    <t xml:space="preserve">Vilatro Construção &amp; Engenharia, Lda. </t>
  </si>
  <si>
    <t>NIF: 518849651</t>
  </si>
  <si>
    <t>Email: gestao.vilatro@gmail.com</t>
  </si>
  <si>
    <t>1.1.</t>
  </si>
  <si>
    <t>1.1.1</t>
  </si>
  <si>
    <t>1.1.2</t>
  </si>
  <si>
    <t>1.1.3</t>
  </si>
  <si>
    <t>1.2</t>
  </si>
  <si>
    <t>1.3</t>
  </si>
  <si>
    <t>Rua Engenheiro Joaquim Botelho de Lucena, nº28</t>
  </si>
  <si>
    <t>Empresa</t>
  </si>
  <si>
    <t>5000-705 Vila Real</t>
  </si>
  <si>
    <t>4.2.1</t>
  </si>
  <si>
    <t>4.2.2</t>
  </si>
  <si>
    <t>4.2.3</t>
  </si>
  <si>
    <t>4.2.4</t>
  </si>
  <si>
    <t>4.3.1</t>
  </si>
  <si>
    <t>4.3.2</t>
  </si>
  <si>
    <t>4.3.3</t>
  </si>
  <si>
    <t>4.3.4</t>
  </si>
  <si>
    <t>4.3.5</t>
  </si>
  <si>
    <t>4.5.1</t>
  </si>
  <si>
    <t>5.6</t>
  </si>
  <si>
    <t>6.4</t>
  </si>
  <si>
    <t>6.4.1</t>
  </si>
  <si>
    <t>6.4.2</t>
  </si>
  <si>
    <t>6.4.3</t>
  </si>
  <si>
    <t>6.5</t>
  </si>
  <si>
    <t>8.4.1</t>
  </si>
  <si>
    <t>8.4.2</t>
  </si>
  <si>
    <t>8.4.3</t>
  </si>
  <si>
    <t>9.7</t>
  </si>
  <si>
    <t>9.8</t>
  </si>
  <si>
    <t>9.9</t>
  </si>
  <si>
    <t>9.10</t>
  </si>
  <si>
    <t>9.11</t>
  </si>
  <si>
    <t>9.12</t>
  </si>
  <si>
    <t>9.12.1</t>
  </si>
  <si>
    <t>9.12.2</t>
  </si>
  <si>
    <t>9.12.3</t>
  </si>
  <si>
    <t>9.13</t>
  </si>
  <si>
    <t>9.14</t>
  </si>
  <si>
    <t>9.14.1</t>
  </si>
  <si>
    <t>9.14.2</t>
  </si>
  <si>
    <t>9.14.3</t>
  </si>
  <si>
    <t>9.14.4</t>
  </si>
  <si>
    <t>9.15</t>
  </si>
  <si>
    <t>9.16</t>
  </si>
  <si>
    <t>9.17</t>
  </si>
  <si>
    <t>9.18</t>
  </si>
  <si>
    <t>9.19</t>
  </si>
  <si>
    <t>9.20</t>
  </si>
  <si>
    <t>10.3</t>
  </si>
  <si>
    <t>10.4</t>
  </si>
  <si>
    <t>10.5</t>
  </si>
  <si>
    <t>10.6</t>
  </si>
  <si>
    <t>12.</t>
  </si>
  <si>
    <t>12.1.2</t>
  </si>
  <si>
    <t>12.1.3</t>
  </si>
  <si>
    <t>12.4.1</t>
  </si>
  <si>
    <t>13.2.1</t>
  </si>
  <si>
    <t>13.2.2</t>
  </si>
  <si>
    <t>13.3</t>
  </si>
  <si>
    <t>13.4</t>
  </si>
  <si>
    <t>13.5</t>
  </si>
  <si>
    <t>13.6</t>
  </si>
  <si>
    <t>13.7</t>
  </si>
  <si>
    <t>13.7.1</t>
  </si>
  <si>
    <t>13.8</t>
  </si>
  <si>
    <t>13.9</t>
  </si>
  <si>
    <t>13.10</t>
  </si>
  <si>
    <t>13.11</t>
  </si>
  <si>
    <t>14.1.1</t>
  </si>
  <si>
    <t>14.1.2</t>
  </si>
  <si>
    <t>14.1.3</t>
  </si>
  <si>
    <t>14.1.3.1</t>
  </si>
  <si>
    <t>14.1.3.2</t>
  </si>
  <si>
    <t>14.1.3.3</t>
  </si>
  <si>
    <t>14.1.3.4</t>
  </si>
  <si>
    <t>14.1.3.5</t>
  </si>
  <si>
    <t>14.1.4</t>
  </si>
  <si>
    <t>14.1.5</t>
  </si>
  <si>
    <t>14.1.6</t>
  </si>
  <si>
    <t>14.1.7</t>
  </si>
  <si>
    <t>14.1.8</t>
  </si>
  <si>
    <t>15.2</t>
  </si>
  <si>
    <t>15.3</t>
  </si>
  <si>
    <t>15.3.1</t>
  </si>
  <si>
    <t>15.3.2</t>
  </si>
  <si>
    <t>15.3.3</t>
  </si>
  <si>
    <t>15.3.4</t>
  </si>
  <si>
    <t>15.3.5</t>
  </si>
  <si>
    <t>15.3.6</t>
  </si>
  <si>
    <t>15.3.7</t>
  </si>
  <si>
    <t>15.4</t>
  </si>
  <si>
    <t>15.5</t>
  </si>
  <si>
    <t>17.1.1</t>
  </si>
  <si>
    <t>17.1.2</t>
  </si>
  <si>
    <t>17.1.3</t>
  </si>
  <si>
    <t>17.1.4</t>
  </si>
  <si>
    <t>17.1.5</t>
  </si>
  <si>
    <t>17.1.6</t>
  </si>
  <si>
    <t>20.</t>
  </si>
  <si>
    <t>20.1</t>
  </si>
  <si>
    <t>20.2</t>
  </si>
  <si>
    <t>20.3</t>
  </si>
  <si>
    <t>20.4</t>
  </si>
  <si>
    <t>20.5</t>
  </si>
  <si>
    <t>ORÇAMENTO</t>
  </si>
  <si>
    <t>Rubrica</t>
  </si>
  <si>
    <t>Nº Fatura</t>
  </si>
  <si>
    <t>Valor</t>
  </si>
  <si>
    <t>NFT FT26/5</t>
  </si>
  <si>
    <t>NFT FT26/7</t>
  </si>
  <si>
    <t>NFT FT26/10</t>
  </si>
  <si>
    <t>Brita (143,06 ton)</t>
  </si>
  <si>
    <t>FT FA.20263/1146</t>
  </si>
  <si>
    <t>Betão C16/20 S3 + serviço de bombagem</t>
  </si>
  <si>
    <t>FT FA.20263/1172</t>
  </si>
  <si>
    <t>Betão C30/37 S3 + serviço de deslocação</t>
  </si>
  <si>
    <t>FT FA.2026S/3047</t>
  </si>
  <si>
    <t>Varão A500 NR (08/12/16/20mm) + arame aço</t>
  </si>
  <si>
    <t>FT FA.2026S/3048</t>
  </si>
  <si>
    <t>FT FA.2026S/3132</t>
  </si>
  <si>
    <t>Arame aço macio recozido</t>
  </si>
  <si>
    <t>FT FA.2026S/3138</t>
  </si>
  <si>
    <t>Varão A500 NR (08/12mm)</t>
  </si>
  <si>
    <t>FR FR.2026S/4888</t>
  </si>
  <si>
    <t>FT FR.2026V/571</t>
  </si>
  <si>
    <t>Boca de entulho, suporte e conduta</t>
  </si>
  <si>
    <t>FT FR.2026V/822</t>
  </si>
  <si>
    <t>Barreira listada, guarda-corpos e fita sinalizadora</t>
  </si>
  <si>
    <t>FT FR.2026V/938</t>
  </si>
  <si>
    <t>FT FT-V001.04/2605824</t>
  </si>
  <si>
    <t>Tampa F.F. reforçada C250 60x60</t>
  </si>
  <si>
    <t>FRA4 2026V2/1615</t>
  </si>
  <si>
    <t>FR 2026/44</t>
  </si>
  <si>
    <t>Placas diversas (sinalização)</t>
  </si>
  <si>
    <t>FR 2026/167</t>
  </si>
  <si>
    <t>Capacetes JSP + sinal PVC (EPI)</t>
  </si>
  <si>
    <t>NFT FT26/11</t>
  </si>
  <si>
    <t>Casa Vilas Boas (Arame Aço Macio Recozido-- queimado)</t>
  </si>
  <si>
    <t>FAC2026/134</t>
  </si>
  <si>
    <t>Fornecimento de água / lavagem de pavimento (Bombeiros Voluntários Vila Real - Cruz Verde)</t>
  </si>
  <si>
    <t>Liquidada</t>
  </si>
  <si>
    <t>Numerário</t>
  </si>
  <si>
    <t>Vassoura</t>
  </si>
  <si>
    <t>Civica (Manitou)</t>
  </si>
  <si>
    <t>Transferência</t>
  </si>
  <si>
    <t>Pagamento MB</t>
  </si>
  <si>
    <t>Rolhas</t>
  </si>
  <si>
    <t>Produto/Serviço</t>
  </si>
  <si>
    <t>Metodo 
Pagamento</t>
  </si>
  <si>
    <t>Demolição e desaterro (Villa Petrus) 
Camião 4 Eixos _ 118H
Camião 3 Eixos_18H
Giratória_79H</t>
  </si>
  <si>
    <t xml:space="preserve">Manga Plastica PEBD OPC Preta 74.8 Kg </t>
  </si>
  <si>
    <t>FRZ.C2/379474</t>
  </si>
  <si>
    <t>Manga Plastica PEBD OPC Preta 74.8 Kg 
Fio de Prumo 50m Flux</t>
  </si>
  <si>
    <t>FRZ.C2/379421</t>
  </si>
  <si>
    <t>Demolição e desaterro (Villa Petrus) 
Camião 4 Eixos _ 174H
Camião 3 Eixos_9H
Giratória_88H</t>
  </si>
  <si>
    <t>Transportes Claudino
Cimento Cosmos 25 kg
Areia Média
Caixa Visita 620*600*250</t>
  </si>
  <si>
    <t>Rede Sombreamento 80</t>
  </si>
  <si>
    <t>FR2/129369</t>
  </si>
  <si>
    <t>Casa Ribeiro de Sousa_Cimento Expansivo</t>
  </si>
  <si>
    <t>TL 1/11581</t>
  </si>
  <si>
    <t>TL 1/11582</t>
  </si>
  <si>
    <t>TL 1/11590</t>
  </si>
  <si>
    <t>Observações</t>
  </si>
  <si>
    <t>Varão A500 NR -12m 12mm_ 11392kg</t>
  </si>
  <si>
    <t>Pago por Tabuada Pioneira</t>
  </si>
  <si>
    <t>FR 1769</t>
  </si>
  <si>
    <t>Casa Ribeiro de Sousa_Pregos</t>
  </si>
  <si>
    <t>TL 1/11613</t>
  </si>
  <si>
    <t>Demolição e desaterro (Villa Petrus) 
Camião 4 Eixos _ 49H
Giratória C/Martelo_18H
Giratória_76H</t>
  </si>
  <si>
    <t>Disco Corte Fino</t>
  </si>
  <si>
    <t>FR 2026V1/1932</t>
  </si>
  <si>
    <t>Construções Ferreira Leite _ Auto nº1</t>
  </si>
  <si>
    <t>FT FA.2026/47</t>
  </si>
  <si>
    <t>Minimáquinas_Aluguer de Matitou Giratório 14 dias</t>
  </si>
  <si>
    <t xml:space="preserve">1000€ de caução com reembolso aquando entrega </t>
  </si>
  <si>
    <t>Não foi alugado o equipamento</t>
  </si>
  <si>
    <t>Foi-nos devolvido o valor</t>
  </si>
  <si>
    <t>-</t>
  </si>
  <si>
    <t>Cola Tangit 125gr +PVC Saneamento Curva 160*87 HD</t>
  </si>
  <si>
    <t>Minimáquinas_Aluguer de Guincho 14 dias</t>
  </si>
  <si>
    <t>Broca SDS-Plus + placas de esferovite EPS 100 (isolamento)</t>
  </si>
  <si>
    <t xml:space="preserve">Calço de betão c/ arame 20mm 750uni
Calço de betão c/ arame 30mm 600uni
</t>
  </si>
  <si>
    <t>FA.2026/263</t>
  </si>
  <si>
    <t>Serviço de transporte de Manitou de Marco de Canavezes até Vrl</t>
  </si>
  <si>
    <t>Fatura com paulo Gonçalves para imprimir</t>
  </si>
  <si>
    <t>Cogumelo Proteção Univ Varao8-20mm 250 uni</t>
  </si>
  <si>
    <t>Casa Dolores
Manga Plastica PEBD OPC Preto 26.9 kg 
Bostik Flexpro PU 811 Cola e Veda 6 Uni
Tela Betuminosa  PY 40 N 25kg
Supermul N 25 Kg
Lamina Drenante 400g 2*30m 60m2</t>
  </si>
  <si>
    <t>FT FRZ.C2/383737</t>
  </si>
  <si>
    <t>30180 / FR.2026A</t>
  </si>
  <si>
    <t>Imprimir fatura</t>
  </si>
  <si>
    <t>Bizdocs</t>
  </si>
  <si>
    <t>X</t>
  </si>
  <si>
    <t>FT 20260111901/012684</t>
  </si>
  <si>
    <t>T01 L23A01/4586</t>
  </si>
  <si>
    <t>TL 1/11644</t>
  </si>
  <si>
    <t>Reembolsar Paulo Gonçalves. O talão diz só "artigo de ferragens e ferramentas" - associado a esta linha pelo valor e pela data</t>
  </si>
  <si>
    <t>FT FA.20263/1191</t>
  </si>
  <si>
    <t>Betão C30/37 S3 D=22 (3 m3) + serviço de deslocação</t>
  </si>
  <si>
    <t>RealVerde - deposição de resíduos + recolha de monos e monstros (aluguer de caixa multibenne, junho 2026)</t>
  </si>
  <si>
    <t>Fatura tem "VP 2.1" escrito à mão</t>
  </si>
  <si>
    <t>FT FT-V001.04/2605780</t>
  </si>
  <si>
    <t>Momel - 2x grelha FFD sumidoura 60x60 C250 + tampa FF reforçada C250</t>
  </si>
  <si>
    <t>FT FRZ.C2/381238</t>
  </si>
  <si>
    <t>Casa Dolores - 10x disco de corte metal 230x3mm Bosch</t>
  </si>
  <si>
    <t>FT FA.2026S/3359</t>
  </si>
  <si>
    <t>Casa Vilas Boas - varão nervurado 6 mts 10mm, 1 302 kg</t>
  </si>
  <si>
    <t xml:space="preserve">RealVerde - deposição de resíduos + recolha de monos e monstros </t>
  </si>
  <si>
    <t>x</t>
  </si>
  <si>
    <t xml:space="preserve"> Minimáquinas_Aluguer de Matitou Giratório 14 dias - reembolso </t>
  </si>
  <si>
    <t>preencher após o reembolso ser feito</t>
  </si>
  <si>
    <t>FA.2026/268</t>
  </si>
  <si>
    <t>Serviço de transporte de Manitou de Vila Real até Marco de Canavezes</t>
  </si>
  <si>
    <t>FT FRZ.C2/385219</t>
  </si>
  <si>
    <t>Casa Dolores - Argamassa de reparação estrutural betão R4 25kg Pulmor (1 un)</t>
  </si>
  <si>
    <t>FT FRZ.C2/384565</t>
  </si>
  <si>
    <t>Casa Dolores - Supermul-N 25kg (2 un)</t>
  </si>
  <si>
    <t>30751 / FR.2026A</t>
  </si>
  <si>
    <t>Zona Agro - Rolha Garrafa Pletec 44x23,5 (100 un)</t>
  </si>
  <si>
    <t>FT FRZ.C2/384765</t>
  </si>
  <si>
    <t>Casa Dolores - Pincel caiar retangular torto cabo madeira (2 un) + artigos da pág. 1 (não visíveis)</t>
  </si>
  <si>
    <t>Só recebida a pág. 2/2 do documento; artigos da pág. 1 (646,90 €) não visíveis - a confirmar</t>
  </si>
  <si>
    <t>FT FA.20263/1308</t>
  </si>
  <si>
    <t>Betão C30/37 S4 D=14 (20 m3) + serviço de bombagem + deslocação da bomba</t>
  </si>
  <si>
    <t>Pago por transferência em 28-08-2026 (extrato ABANCA)</t>
  </si>
  <si>
    <t>Pago por TPA em 21-08-2026 (extrato ABANCA)</t>
  </si>
  <si>
    <t>Art</t>
  </si>
  <si>
    <t>Cap</t>
  </si>
  <si>
    <t>Nível</t>
  </si>
  <si>
    <t>Tipo</t>
  </si>
  <si>
    <t>Orçamentado</t>
  </si>
  <si>
    <t>Gasto</t>
  </si>
  <si>
    <t>Saldo</t>
  </si>
  <si>
    <t>% consumido</t>
  </si>
  <si>
    <t>Nº faturas</t>
  </si>
  <si>
    <t>Etiqueta</t>
  </si>
  <si>
    <t>1</t>
  </si>
  <si>
    <t>CAPÍTULO</t>
  </si>
  <si>
    <t>1 — ESTALEIRO</t>
  </si>
  <si>
    <t>1.1</t>
  </si>
  <si>
    <t>TÍTULO</t>
  </si>
  <si>
    <t>1.1 — Montagem, exploração e desmontagem de Estaleiro, incluindo todos os...</t>
  </si>
  <si>
    <t>ITEM</t>
  </si>
  <si>
    <t>1.1.1 — Montagem</t>
  </si>
  <si>
    <t>1.1.2 — Exploração</t>
  </si>
  <si>
    <t>1.1.3 — Desmontagem</t>
  </si>
  <si>
    <t>Execução e desenvolvimento do Plano de Resíduos na Construção, de acordo com a legislação em vigor, incluindo tratamento, valorização e transporte a vazadouro autorizado dos resíduos da construção.</t>
  </si>
  <si>
    <t>1.2 — Execução e desenvolvimento do Plano de Resíduos na Construção, de a...</t>
  </si>
  <si>
    <t>Execução e desenvolvimento do Plano de Segurança e Saúde, de acordo com legislação em vigor.</t>
  </si>
  <si>
    <t>1.3 — Execução e desenvolvimento do Plano de Segurança e Saúde, de acordo...</t>
  </si>
  <si>
    <t>2</t>
  </si>
  <si>
    <t>2 — DEMOLIÇÕES</t>
  </si>
  <si>
    <t>Execução de demolição geral dos edificios existentes incluindo transporte a vazadouro dos materiais sobrantes.</t>
  </si>
  <si>
    <t>2.1 — Execução de demolição geral dos edificios existentes incluindo tran...</t>
  </si>
  <si>
    <t>3</t>
  </si>
  <si>
    <t>3 — MOVIMENTO DE TERRAS</t>
  </si>
  <si>
    <t>3.1 — Escavação geral em terreno de qualquer natureza para abertura da ca...</t>
  </si>
  <si>
    <t>3.2 — Escavação em terreno de qualquer natureza para abertura de caboucos...</t>
  </si>
  <si>
    <t>3.3 — Aterro com material proveniente da escavação ou de empréstimo, para...</t>
  </si>
  <si>
    <t>4</t>
  </si>
  <si>
    <t>4 — ESTRUTURA DE BETÃO ARMADO</t>
  </si>
  <si>
    <t>4.1 — Fornecimento e aplicação de betão de limpeza e regularização, do ti...</t>
  </si>
  <si>
    <t>4.2 — Fornecimento e aplicação de betão em elementos de fundação, do tipo...</t>
  </si>
  <si>
    <t>4.2.1 — Sapatas Isoladas</t>
  </si>
  <si>
    <t>4.2.2 — Sapatas muros</t>
  </si>
  <si>
    <t>4.2.3 — Vigas lintel</t>
  </si>
  <si>
    <t>4.2.4 — Vigas de equilibrio</t>
  </si>
  <si>
    <t>4.3 — Fornecimento e aplicação de betão em estrutura, do tipo C30/37, inc...</t>
  </si>
  <si>
    <t>4.3.1 — Muros</t>
  </si>
  <si>
    <t>4.3.2 — Pilares</t>
  </si>
  <si>
    <t>4.3.3 — Vigas</t>
  </si>
  <si>
    <t>4.3.4 — Escadas</t>
  </si>
  <si>
    <t>4.3.5 — Lajes maciças</t>
  </si>
  <si>
    <t>4.4 — Fornecimento e execução de pavimento da garagem, em betão com acaba...</t>
  </si>
  <si>
    <t>4.5 — Execução e aplicação de pilares em elementos metálicos em perfis tu...</t>
  </si>
  <si>
    <t>4.5.1 — HE160 A</t>
  </si>
  <si>
    <t>5</t>
  </si>
  <si>
    <t>5 — ALVENARIAS</t>
  </si>
  <si>
    <t>5.1 — Fornecimento e execução de paredes exteriores, em bloco térmico do...</t>
  </si>
  <si>
    <t>5.2 — Fornecimento e execução de paredes exteriores, em bloco térmico do...</t>
  </si>
  <si>
    <t>5.3 — Paredes interiores da cave em Bloco de cimento 50x20x15 face a vist...</t>
  </si>
  <si>
    <t>5.4 — Fornecimento e execução de paredes interiores entre apartamentos e...</t>
  </si>
  <si>
    <t>5.5 — Fornecimento e execução de paredes tapa-vistas em alvenaria de tijo...</t>
  </si>
  <si>
    <t>5.6 — Fornecimento e instalação de cassonetos para portas interiores de c...</t>
  </si>
  <si>
    <t>6</t>
  </si>
  <si>
    <t>6 — COBERTURA</t>
  </si>
  <si>
    <t>(sem descrição)</t>
  </si>
  <si>
    <t>6.1 — (sem descrição)</t>
  </si>
  <si>
    <t>6.2 — Idem com pavimento em lajetas de cimento</t>
  </si>
  <si>
    <t>6.3 — Fornecimento e execução de coberturas inclinadas composta por camad...</t>
  </si>
  <si>
    <t>6.4 — Fornecimento e execução de elementos em zinco 12 natural, incluindo...</t>
  </si>
  <si>
    <t>6.4.1 — rufo de topo das coberturas</t>
  </si>
  <si>
    <t>6.4.2 — caleira de encosto de telhados com cotas diferentes e de encontro d...</t>
  </si>
  <si>
    <t>6.4.3 — rufo de topo das janelas das mansardas</t>
  </si>
  <si>
    <t>6.5 — Fornecimento e execução de chaminés em alvenaria com cerca de 1m e...</t>
  </si>
  <si>
    <t>7</t>
  </si>
  <si>
    <t>7 — IMPERMEABILIZAÇÕES E ISOLAMENTOS</t>
  </si>
  <si>
    <t>7.1 — Fornecimento e execução de impermeabilização de pavimentos devarand...</t>
  </si>
  <si>
    <t>7.2 — Fornecimento e aplicação de isolamento XPS com 6cm de espessura, en...</t>
  </si>
  <si>
    <t>7.3 — Fornecimento e execução de impermeabilização de pavimentos de wc, c...</t>
  </si>
  <si>
    <t>8</t>
  </si>
  <si>
    <t>8 — REVESTIMENTOS EXTERIORES</t>
  </si>
  <si>
    <t>8.1 — Fornecimento e execução de revestimento exterior tipo Etics, compos...</t>
  </si>
  <si>
    <t>8.2 — Idem em tectos das varandas.</t>
  </si>
  <si>
    <t>8.2 — Fornecimento e execução de revestimento em pedra tipo Vila Real, em...</t>
  </si>
  <si>
    <t>Fornecimento e execução de revestimento em pedra bujardada tipo Vila Real, de 3cm de espessura em:</t>
  </si>
  <si>
    <t>8.4 — Fornecimento e execução de revestimento em pedra bujardada tipo Vil...</t>
  </si>
  <si>
    <t>Rebordo de vãos</t>
  </si>
  <si>
    <t>8.4.1 — Rebordo de vãos</t>
  </si>
  <si>
    <t>8.4.2 — Separação de pisos</t>
  </si>
  <si>
    <t>Esquinas dos edifícios</t>
  </si>
  <si>
    <t>8.4.3 — Esquinas dos edifícios</t>
  </si>
  <si>
    <t>Fornecimento e execução de revestimento exterior em soletos incluindo ripado vertical e horizontal, isolamento térmico e todos os trabalhos necessários.</t>
  </si>
  <si>
    <t>8.5 — Fornecimento e execução de revestimento exterior em soletos incluin...</t>
  </si>
  <si>
    <t>9</t>
  </si>
  <si>
    <t>REVESTIMENTOS INTERIORES</t>
  </si>
  <si>
    <t>9 — REVESTIMENTOS INTERIORES</t>
  </si>
  <si>
    <t>Fornecimento e execução de regularização de portais para fixação de caixilharia se portas de entrada de apartamentos, incluindo todos os materiais e trabalhos nescessários.</t>
  </si>
  <si>
    <t>9.1 — Fornecimento e execução de regularização de portais para fixação de...</t>
  </si>
  <si>
    <t>9.2 — Revestimento de paredes interiores de alvenaria, em zonas humidas,...</t>
  </si>
  <si>
    <t>9.3 — Fornecimento e execução de reboco de paredes interiores de alvenari...</t>
  </si>
  <si>
    <t>9.4 — Idem nas paredes da garagem caso se entenda como necessário.</t>
  </si>
  <si>
    <t>9.5 — Parede em pladur standard de placa dupla de 13mm em cada face com i...</t>
  </si>
  <si>
    <t>9.6 — Parede em pladur hidrófugo de placa dupla de 13mm em cada face com...</t>
  </si>
  <si>
    <t>9.7 — Parede em pladur de placa dupla de 13mm em cada face, uma face hidr...</t>
  </si>
  <si>
    <t>9.8 — Revestimento final de paredes de alvenaria, interior de apartamento...</t>
  </si>
  <si>
    <t>9.9 — Revestimento final em paredes de cozinhas e wc ́s em material cerâm...</t>
  </si>
  <si>
    <t>9.10 — Fornecimento e execução de betonilha de enchimento/regularização, e...</t>
  </si>
  <si>
    <t>9.11 — Fornecimento e assentamento de pavimento flutuante do tipo Vinílico...</t>
  </si>
  <si>
    <t>9.12 — Fornecimento e aplicação de material cerâmico, incluindo todos os m...</t>
  </si>
  <si>
    <t>9.12.1 — Cozinhas e wc's</t>
  </si>
  <si>
    <t>9.12.2 — Zonas Comuns</t>
  </si>
  <si>
    <t>9.12.3 — Varandas</t>
  </si>
  <si>
    <t>9.13 — Fornecimento e aplicação de perfil de separação de pavimentos entre...</t>
  </si>
  <si>
    <t>9.14 — Fornecimento e aplicação de rodapé em material cerâmico, com cerca...</t>
  </si>
  <si>
    <t>9.14.1 — wc's</t>
  </si>
  <si>
    <t>9.14.2 — Zonas comuns</t>
  </si>
  <si>
    <t>9.14.3 — Varandas e terraços</t>
  </si>
  <si>
    <t>9.14.4 — Cozinhas</t>
  </si>
  <si>
    <t>9.15 — Fornecimento e aplicação de revestimento de escadas, em material ce...</t>
  </si>
  <si>
    <t>9.16 — Fornecimento e aplicação de revestimento de escadas de entrada do e...</t>
  </si>
  <si>
    <t>9.17 — Fornecimento e execução tecto falso em gesso cartonado, no interior...</t>
  </si>
  <si>
    <t>9.18 — Idem em wc's com placa hidrófuga.</t>
  </si>
  <si>
    <t>9.19 — Fornecimento e execução de reboco de argamassa de cimento, com acab...</t>
  </si>
  <si>
    <t>9.20 — Fornecimento e execução de reboco de argamassa de cimento, com acab...</t>
  </si>
  <si>
    <t>10</t>
  </si>
  <si>
    <t>10 — PINTURAS</t>
  </si>
  <si>
    <t>10.1 — Fornecimento e aplicação de pintura com tinta de base aquosa, no in...</t>
  </si>
  <si>
    <t>10.2 — Fornecimento e aplicação de pintura com tinta de base aquosa, sobre...</t>
  </si>
  <si>
    <t>10.3 — Idem nos tectos das escadas sobre reboco areado ou sobre betão.</t>
  </si>
  <si>
    <t>10.4 — Idem em tecto de garagem directamente no betão.</t>
  </si>
  <si>
    <t>10.5 — Idem nas paredes da garagem caso se entenda como necessário.</t>
  </si>
  <si>
    <t>10.6 — Fornecimento e execução de marcação dos lugares de garagem, conform...</t>
  </si>
  <si>
    <t>11</t>
  </si>
  <si>
    <t>11 — CANTARIAS</t>
  </si>
  <si>
    <t>11.1 — Fornecimento e aplicação de soleiras e peitoris, em pedra de granit...</t>
  </si>
  <si>
    <t>11.2 — Fornecimento e aplicação de chapim em pedra de granito tipo Vila Re...</t>
  </si>
  <si>
    <t>12</t>
  </si>
  <si>
    <t>12 — SERRALHARIAS</t>
  </si>
  <si>
    <t>12.1 — Fornecimento e instalação de caixilharia de alumínio com corte térm...</t>
  </si>
  <si>
    <t>12.1.1 — vãos de correr</t>
  </si>
  <si>
    <t>12.1.2 — vãos de abrir</t>
  </si>
  <si>
    <t>12.1.3 — vãos de correr e abrir</t>
  </si>
  <si>
    <t>12.2 — Fornecimento e instalação de caixas de correio, em local a definir,...</t>
  </si>
  <si>
    <t>12.3 — Fornecimento e colocação de chapa lacada a tapar a abertura do esto...</t>
  </si>
  <si>
    <t>12.4 — Fornecimento e instalação de portões exteriores, em chapa de ferro...</t>
  </si>
  <si>
    <t>12.4.1 — Portão de acesso automóvel, com 3ml de largura de abrir por 2,40</t>
  </si>
  <si>
    <t>12.5 — Fornecimento e eplicação de guarda de ferro, com 90cm de altura, em...</t>
  </si>
  <si>
    <t>12.6 — Fornecimento e execução de guarda de escadas, com 90cm de altura, e...</t>
  </si>
  <si>
    <t>13</t>
  </si>
  <si>
    <t>13 — CARPINTARIAS</t>
  </si>
  <si>
    <t>13.1 — Fornecimento e instalação de portas interiores de batente, de entra...</t>
  </si>
  <si>
    <t>13.2.1 — Porta 0,90x2,20</t>
  </si>
  <si>
    <t>13.2 — Fornecimento e instalação de portas interiores de apartamentos, com...</t>
  </si>
  <si>
    <t>13.2.1 — De batente 0,80x2,00</t>
  </si>
  <si>
    <t>13.2.2 — De correr 0,80x2,00</t>
  </si>
  <si>
    <t>13.3 — Fornecimento e execução de armários roupeiros, com 60cm de profundi...</t>
  </si>
  <si>
    <t>13.4 — Fornecimento e execução de armários de arrumação, nas zonas de circ...</t>
  </si>
  <si>
    <t>13.5 — Fornecimento e execução de armários de contadores das zonas comuns,...</t>
  </si>
  <si>
    <t>13.6 — Fornecimento e execução de moveis de lavandaria e arrumos, incluind...</t>
  </si>
  <si>
    <t>13.7 — Fornecimento e execução de móveis de cozinha, com acabamento exteri...</t>
  </si>
  <si>
    <t>13.7.1 — Móvel de parede e ilha.</t>
  </si>
  <si>
    <t>13.8 — Fornecimento e instalação de móveis de wc com acabamento exterior l...</t>
  </si>
  <si>
    <t>13.9 — Fornecimento e aplicação de rodape em madeira, com 12x75mm, com aca...</t>
  </si>
  <si>
    <t>13.10 — Fornecimento e aplicação de revestimento em escadas interiores em m...</t>
  </si>
  <si>
    <t>13.11 — Fornecimento e execução de guarda de escadas interiores dos apartam...</t>
  </si>
  <si>
    <t>14</t>
  </si>
  <si>
    <t>14 — LOUÇAS SANITÁRIAS E ACESSÓRIOS</t>
  </si>
  <si>
    <t>14.1 — Fornecimento e assentamento de loiças sanitárias, incluindo torneir...</t>
  </si>
  <si>
    <t>14.1.1 — Lavatório Novelda Plus 50 BR.</t>
  </si>
  <si>
    <t>14.1.2 — Sanita URB. Susp.52 RIMFLUSH fixação com tampa de sanita urb. Y cr...</t>
  </si>
  <si>
    <t>14.1.3 — Base de duche Moraira Branco.</t>
  </si>
  <si>
    <t>14.1.3.1 — 0,80x0,80</t>
  </si>
  <si>
    <t>14.1.3.2 — 0,70x1,50</t>
  </si>
  <si>
    <t>14.1.3.3 — 0,80x1,50</t>
  </si>
  <si>
    <t>14.1.3.4 — 0,80x1,80</t>
  </si>
  <si>
    <t>14.1.3.5 — 0,80x2,00</t>
  </si>
  <si>
    <t>14.1.4 — Torneira Cetus Basic misturadora.</t>
  </si>
  <si>
    <t>14.1.5 — Torneira CETUS BASIC misturadora base de duche.</t>
  </si>
  <si>
    <t>14.1.6 — Luxe toalheiro 60 cm CR.</t>
  </si>
  <si>
    <t>14.1.7 — Luxe Piaçava CR.</t>
  </si>
  <si>
    <t>14.1.8 — Luxe Porta-rolos</t>
  </si>
  <si>
    <t>14.2 — Fornecimento e colocação de vidro fixo, temperado para resguardo no...</t>
  </si>
  <si>
    <t>15</t>
  </si>
  <si>
    <t>15 — DIVERSOS</t>
  </si>
  <si>
    <t>15.1 — Fornecimento e montagem de elevador da Orona, com capacidade para 8...</t>
  </si>
  <si>
    <t>15.2 — Fornecimento e instalação de estores eléctricos, incluindo todos os...</t>
  </si>
  <si>
    <t>15.3 — Fornecimento e colocação de electrodomésticos, incluindo todas as l...</t>
  </si>
  <si>
    <t>15.3.1 — placa de fogão Bosch PIE611BB5E</t>
  </si>
  <si>
    <t>15.3.2 — Exaustor Integrado Bosch serie 2 DFT63AC50 59,8X29 CM</t>
  </si>
  <si>
    <t>15.3.3 — forno Bosch HBA574BB3</t>
  </si>
  <si>
    <t>15.3.4 — micro-ondas Encastre Bosch BEL523MSO 20 L</t>
  </si>
  <si>
    <t>15.3.5 — Frigorifico Serie 4 Combinado de instalação livre 203x60 cm aço ant...</t>
  </si>
  <si>
    <t>15.3.6 — Máquina de Lavar Loiça BOSCH SMS4EKI06E</t>
  </si>
  <si>
    <t>15.3.7 — Serie 4 Máquina de Lavar/Secar 9/5 Kg 1400 rpm Bosch WNA1341XES</t>
  </si>
  <si>
    <t>15.4 — Apoio de construção Civil as restantes especialidades, nomeadamente...</t>
  </si>
  <si>
    <t>15.5 — Execução de limpeza de final de obra</t>
  </si>
  <si>
    <t>16</t>
  </si>
  <si>
    <t>16 — INSTALAÇÕES ELÉCTRICAS</t>
  </si>
  <si>
    <t>16.1 — Fornecimento e execução de Instalações Electricas e de ITED, de aco...</t>
  </si>
  <si>
    <t>17</t>
  </si>
  <si>
    <t>17 — INSTALAÇÕES HIDRÁULICAS</t>
  </si>
  <si>
    <t>17.1 — Fornecimento e execução de Instalações Hidráulicas, de acordo com o...</t>
  </si>
  <si>
    <t>17.1.1 — (sem descrição)</t>
  </si>
  <si>
    <t>17.1.2 — Acessórios para contador totalizador e 25 contadores</t>
  </si>
  <si>
    <t>17.1.3 — Fornecimento e instalação de Bombas de Calor para AQS, incluindo tu...</t>
  </si>
  <si>
    <t>17.1.4 — Rede de Esgotos em tubo PVC PN4</t>
  </si>
  <si>
    <t>17.1.5 — Rede águas pluviais, a executar pelo exterior do edifício, incluind...</t>
  </si>
  <si>
    <t>17.1.6 — Rede de escoamento da garagem, incuindo caixas com grelha, caleira...</t>
  </si>
  <si>
    <t>18</t>
  </si>
  <si>
    <t>18 — INSTALAÇÕES MECÂNICAS</t>
  </si>
  <si>
    <t>18.1 — Fornecimento e execução de sistema de ventilação de cozinhas e wc's...</t>
  </si>
  <si>
    <t>18.2 — Fornecimento e execução de sistema de climatização constuida por UI...</t>
  </si>
  <si>
    <t>19</t>
  </si>
  <si>
    <t>19 — SEGURANÇA CONTRA INCÊNDIOS</t>
  </si>
  <si>
    <t>19.1 — Fornecimento e montagem de portas corta fogo 60min de batente stand...</t>
  </si>
  <si>
    <t>19.2 — Fornecimento e execução de SCI, incluindo 6 extintores, grelhas de...</t>
  </si>
  <si>
    <t>20</t>
  </si>
  <si>
    <t>20 — INFRAESTRUTURAS, ARRANJOS EXTERIORES e DOMÍNIO PÚBLICO</t>
  </si>
  <si>
    <t>20.1 — Fornecimento e aplicação de lancis cimento, de 8cm, de separação en...</t>
  </si>
  <si>
    <t>20.2 — Fornecimento e execução de zonas verdes, constituidas por camada de...</t>
  </si>
  <si>
    <t>20.3 — Fornecimento e execução de pavimento em pedra de chão hexagonal/bet...</t>
  </si>
  <si>
    <t>20.4 — Fornecimento e execução de caleira e grelha de jardim.</t>
  </si>
  <si>
    <t>20.5 — Fornecimento e execução de Muro Exterior em bloco de cimento de 50x...</t>
  </si>
  <si>
    <t>ORÇAMENTO vs GASTO — Vila Petrus</t>
  </si>
  <si>
    <t>Orçamento total</t>
  </si>
  <si>
    <t>Gasto classificado</t>
  </si>
  <si>
    <t>Por classificar</t>
  </si>
  <si>
    <t>Rubrica não reconhecida</t>
  </si>
  <si>
    <t>Total lançado</t>
  </si>
  <si>
    <t>% do orçamento</t>
  </si>
  <si>
    <t>POR CAPÍTULO</t>
  </si>
  <si>
    <t>Faturas ainda sem rubrica</t>
  </si>
  <si>
    <t>Rubrica escrita que não existe no orçamento</t>
  </si>
  <si>
    <t>O detalhe por sub-rubrica está na folha "Rubricas" — a mesma lista que alimenta a dropdown da coluna Rubrica.</t>
  </si>
  <si>
    <t>Gerado em 08-09-2026 16:04. O Gasto é fórmula: assim que preencheres a coluna Rubrica na folha "Despesas", isto atualiza-se sozinho. Só é preciso voltar a correr o script se o ORÇAMENTO mudar.</t>
  </si>
  <si>
    <t>FT 2FT/3917</t>
  </si>
  <si>
    <t>Tendencia Pintada - Bucha sem prego 8X50 (900un)</t>
  </si>
  <si>
    <t>Total confirmado pela fatura: 291,52 EUR (base 237,01 + IVA 54,51). Pago pelo recibo T99 L23A17/1486 de 16-07-2026, junto com a fatura 4599 (15,99 EUR). Fatura e recibo arquivados em Lançadas.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</si>
</sst>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quot;€&quot;"/>
    <numFmt numFmtId="165" formatCode="[&lt;1000]0.00&quot; €&quot;;#\.##0.00&quot; €&quot;"/>
    <numFmt numFmtId="166" formatCode="#,##0.00\ _€"/>
    <numFmt numFmtId="167" formatCode="0.0%"/>
  </numFmts>
  <fonts count="10" x14ac:knownFonts="1">
    <font>
      <sz val="11"/>
      <color theme="1"/>
      <name val="Calibri"/>
      <family val="2"/>
      <scheme val="minor"/>
    </font>
    <font>
      <b/>
      <sz val="9"/>
      <color theme="1"/>
      <name val="Calibri"/>
      <family val="2"/>
      <scheme val="minor"/>
    </font>
    <font>
      <sz val="9"/>
      <color theme="1"/>
      <name val="Calibri"/>
      <family val="2"/>
      <scheme val="minor"/>
    </font>
    <font>
      <sz val="9"/>
      <color theme="9" tint="-0.249977111117893"/>
      <name val="Calibri"/>
      <family val="2"/>
      <scheme val="minor"/>
    </font>
    <font>
      <b/>
      <sz val="11"/>
      <color theme="1"/>
      <name val="Calibri"/>
      <family val="2"/>
      <scheme val="minor"/>
    </font>
    <font>
      <u/>
      <sz val="11"/>
      <color theme="1"/>
      <name val="Calibri"/>
      <family val="2"/>
      <scheme val="minor"/>
    </font>
    <font>
      <b/>
      <sz val="16"/>
      <color theme="1"/>
      <name val="Calibri"/>
      <family val="2"/>
      <scheme val="minor"/>
    </font>
    <font>
      <i/>
      <sz val="11"/>
      <color theme="1"/>
      <name val="Calibri"/>
      <family val="2"/>
      <scheme val="minor"/>
    </font>
    <font>
      <b/>
      <sz val="13"/>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2" tint="-0.749992370372631"/>
        <bgColor indexed="64"/>
      </patternFill>
    </fill>
    <fill>
      <patternFill patternType="solid">
        <fgColor rgb="FF00B0F0"/>
        <bgColor indexed="64"/>
      </patternFill>
    </fill>
  </fills>
  <borders count="26">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ck">
        <color indexed="64"/>
      </right>
      <top style="thick">
        <color indexed="64"/>
      </top>
      <bottom/>
      <diagonal/>
    </border>
    <border>
      <left/>
      <right style="thick">
        <color indexed="64"/>
      </right>
      <top/>
      <bottom/>
      <diagonal/>
    </border>
    <border>
      <left/>
      <right style="thick">
        <color indexed="64"/>
      </right>
      <top/>
      <bottom style="thick">
        <color indexed="64"/>
      </bottom>
      <diagonal/>
    </border>
    <border>
      <left/>
      <right/>
      <top style="thin">
        <color indexed="64"/>
      </top>
      <bottom/>
      <diagonal/>
    </border>
  </borders>
  <cellStyleXfs count="1">
    <xf numFmtId="0" fontId="0" fillId="0" borderId="0"/>
  </cellStyleXfs>
  <cellXfs count="97">
    <xf numFmtId="0" fontId="0" fillId="0" borderId="0" xfId="0"/>
    <xf numFmtId="0" fontId="1" fillId="0" borderId="6" xfId="0" applyFont="1" applyBorder="1" applyAlignment="1">
      <alignment horizontal="center" vertical="center" wrapText="1"/>
    </xf>
    <xf numFmtId="0" fontId="2" fillId="0" borderId="22" xfId="0" applyFont="1" applyBorder="1" applyAlignment="1">
      <alignment horizontal="center" vertical="center"/>
    </xf>
    <xf numFmtId="0" fontId="1" fillId="0" borderId="8" xfId="0" applyFont="1" applyBorder="1" applyAlignment="1">
      <alignment horizontal="center" vertical="center" wrapText="1"/>
    </xf>
    <xf numFmtId="0" fontId="2" fillId="0" borderId="0" xfId="0" applyFont="1" applyAlignment="1">
      <alignment horizontal="left" wrapText="1"/>
    </xf>
    <xf numFmtId="0" fontId="2" fillId="0" borderId="23" xfId="0" applyFont="1" applyBorder="1" applyAlignment="1">
      <alignment horizontal="center" vertical="center"/>
    </xf>
    <xf numFmtId="0" fontId="2" fillId="0" borderId="0" xfId="0" applyFont="1" applyAlignment="1">
      <alignment wrapText="1"/>
    </xf>
    <xf numFmtId="0" fontId="2" fillId="0" borderId="4" xfId="0" applyFont="1" applyBorder="1" applyAlignment="1">
      <alignment horizontal="left" vertical="center" wrapText="1"/>
    </xf>
    <xf numFmtId="0" fontId="2" fillId="0" borderId="0" xfId="0" applyFont="1"/>
    <xf numFmtId="0" fontId="1" fillId="0" borderId="18" xfId="0" applyFont="1" applyBorder="1" applyAlignment="1">
      <alignment horizontal="center" vertical="center" wrapText="1"/>
    </xf>
    <xf numFmtId="0" fontId="2" fillId="0" borderId="5" xfId="0" applyFont="1" applyBorder="1" applyAlignment="1">
      <alignment horizontal="left" vertical="center" wrapText="1"/>
    </xf>
    <xf numFmtId="0" fontId="1" fillId="0" borderId="8" xfId="0" applyFont="1" applyBorder="1" applyAlignment="1">
      <alignment horizontal="center" vertical="center"/>
    </xf>
    <xf numFmtId="0" fontId="2" fillId="0" borderId="4" xfId="0" applyFont="1" applyBorder="1" applyAlignment="1">
      <alignment horizontal="left" vertical="center"/>
    </xf>
    <xf numFmtId="0" fontId="1" fillId="0" borderId="15" xfId="0" applyFont="1" applyBorder="1" applyAlignment="1">
      <alignment horizontal="center" vertical="center"/>
    </xf>
    <xf numFmtId="0" fontId="2" fillId="0" borderId="21" xfId="0" applyFont="1" applyBorder="1" applyAlignment="1">
      <alignment horizontal="left" vertical="center"/>
    </xf>
    <xf numFmtId="0" fontId="2" fillId="0" borderId="24"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xf numFmtId="0" fontId="2" fillId="0" borderId="20" xfId="0" applyFont="1" applyBorder="1" applyAlignment="1">
      <alignment horizontal="left" vertical="center"/>
    </xf>
    <xf numFmtId="0" fontId="2" fillId="0" borderId="8" xfId="0" applyFont="1" applyBorder="1" applyAlignment="1">
      <alignment horizontal="center" vertical="center"/>
    </xf>
    <xf numFmtId="0" fontId="2" fillId="0" borderId="2" xfId="0" applyFont="1" applyBorder="1"/>
    <xf numFmtId="0" fontId="2" fillId="0" borderId="12" xfId="0" applyFont="1" applyBorder="1" applyAlignment="1">
      <alignment horizontal="center" vertical="center"/>
    </xf>
    <xf numFmtId="0" fontId="2" fillId="2" borderId="10" xfId="0" applyFont="1" applyFill="1" applyBorder="1" applyAlignment="1">
      <alignment horizontal="center" vertical="center"/>
    </xf>
    <xf numFmtId="0" fontId="2" fillId="2" borderId="3" xfId="0" applyFont="1" applyFill="1" applyBorder="1"/>
    <xf numFmtId="164" fontId="2" fillId="2" borderId="11" xfId="0" applyNumberFormat="1" applyFont="1" applyFill="1" applyBorder="1" applyAlignment="1">
      <alignment horizontal="center" vertical="center"/>
    </xf>
    <xf numFmtId="0" fontId="2" fillId="0" borderId="2" xfId="0" applyFont="1" applyBorder="1" applyAlignment="1">
      <alignment horizontal="left" wrapText="1"/>
    </xf>
    <xf numFmtId="164" fontId="2" fillId="0" borderId="12" xfId="0" applyNumberFormat="1" applyFont="1" applyBorder="1" applyAlignment="1">
      <alignment horizontal="center" vertical="center"/>
    </xf>
    <xf numFmtId="0" fontId="2" fillId="0" borderId="2" xfId="0" applyFont="1" applyBorder="1" applyAlignment="1">
      <alignment wrapText="1"/>
    </xf>
    <xf numFmtId="0" fontId="1" fillId="0" borderId="2" xfId="0" applyFont="1" applyBorder="1"/>
    <xf numFmtId="0" fontId="1" fillId="0" borderId="2" xfId="0" applyFont="1" applyBorder="1" applyAlignment="1">
      <alignment vertical="top" wrapText="1"/>
    </xf>
    <xf numFmtId="0" fontId="2" fillId="0" borderId="9" xfId="0" applyFont="1" applyBorder="1" applyAlignment="1">
      <alignment horizontal="center" vertical="center"/>
    </xf>
    <xf numFmtId="164" fontId="2" fillId="0" borderId="9" xfId="0" applyNumberFormat="1" applyFont="1" applyBorder="1" applyAlignment="1">
      <alignment horizontal="center" vertical="center"/>
    </xf>
    <xf numFmtId="0" fontId="1" fillId="2" borderId="3" xfId="0" applyFont="1" applyFill="1" applyBorder="1"/>
    <xf numFmtId="0" fontId="3" fillId="0" borderId="2" xfId="0" applyFont="1" applyBorder="1"/>
    <xf numFmtId="164" fontId="3" fillId="0" borderId="9" xfId="0" applyNumberFormat="1" applyFont="1" applyBorder="1" applyAlignment="1">
      <alignment horizontal="center" vertical="center"/>
    </xf>
    <xf numFmtId="0" fontId="3" fillId="0" borderId="0" xfId="0" applyFont="1"/>
    <xf numFmtId="0" fontId="1" fillId="0" borderId="2" xfId="0" applyFont="1" applyBorder="1" applyAlignment="1">
      <alignment wrapText="1"/>
    </xf>
    <xf numFmtId="0" fontId="2" fillId="0" borderId="1" xfId="0" applyFont="1" applyBorder="1"/>
    <xf numFmtId="0" fontId="2" fillId="0" borderId="4" xfId="0" applyFont="1" applyBorder="1" applyAlignment="1">
      <alignment wrapText="1"/>
    </xf>
    <xf numFmtId="0" fontId="2" fillId="0" borderId="4" xfId="0" applyFont="1" applyBorder="1"/>
    <xf numFmtId="0" fontId="1" fillId="0" borderId="0" xfId="0" applyFont="1"/>
    <xf numFmtId="0" fontId="1" fillId="0" borderId="4" xfId="0" applyFont="1" applyBorder="1"/>
    <xf numFmtId="0" fontId="1" fillId="2" borderId="13" xfId="0" applyFont="1" applyFill="1" applyBorder="1"/>
    <xf numFmtId="164" fontId="2" fillId="2" borderId="14" xfId="0" applyNumberFormat="1" applyFont="1" applyFill="1" applyBorder="1" applyAlignment="1">
      <alignment horizontal="center" vertical="center"/>
    </xf>
    <xf numFmtId="0" fontId="2" fillId="2" borderId="8" xfId="0" applyFont="1" applyFill="1" applyBorder="1" applyAlignment="1">
      <alignment horizontal="center" vertical="center"/>
    </xf>
    <xf numFmtId="0" fontId="1" fillId="2" borderId="4" xfId="0" applyFont="1" applyFill="1" applyBorder="1"/>
    <xf numFmtId="164" fontId="2" fillId="2" borderId="9" xfId="0" applyNumberFormat="1" applyFont="1" applyFill="1" applyBorder="1" applyAlignment="1">
      <alignment horizontal="center" vertical="center"/>
    </xf>
    <xf numFmtId="0" fontId="2" fillId="0" borderId="15" xfId="0" applyFont="1" applyBorder="1" applyAlignment="1">
      <alignment horizontal="center" vertical="center"/>
    </xf>
    <xf numFmtId="0" fontId="2" fillId="0" borderId="16" xfId="0" applyFont="1" applyBorder="1"/>
    <xf numFmtId="164" fontId="2" fillId="0" borderId="17" xfId="0" applyNumberFormat="1" applyFont="1" applyBorder="1" applyAlignment="1">
      <alignment horizontal="center" vertical="center"/>
    </xf>
    <xf numFmtId="0" fontId="2" fillId="0" borderId="4" xfId="0" applyFont="1" applyBorder="1" applyAlignment="1">
      <alignment horizontal="left" vertical="top" wrapText="1"/>
    </xf>
    <xf numFmtId="0" fontId="2" fillId="0" borderId="9" xfId="0" applyFont="1" applyBorder="1" applyAlignment="1">
      <alignment horizontal="left" vertical="top" wrapText="1"/>
    </xf>
    <xf numFmtId="0" fontId="2" fillId="0" borderId="4" xfId="0" applyFont="1" applyBorder="1" applyAlignment="1">
      <alignment horizontal="left" wrapText="1"/>
    </xf>
    <xf numFmtId="0" fontId="2" fillId="0" borderId="9" xfId="0" applyFont="1" applyBorder="1" applyAlignment="1">
      <alignment horizontal="left" wrapText="1"/>
    </xf>
    <xf numFmtId="164" fontId="2" fillId="3" borderId="9" xfId="0" applyNumberFormat="1" applyFont="1" applyFill="1" applyBorder="1" applyAlignment="1">
      <alignment horizontal="left" vertical="center"/>
    </xf>
    <xf numFmtId="0" fontId="2" fillId="0" borderId="7" xfId="0" applyFont="1" applyBorder="1" applyAlignment="1">
      <alignment horizontal="left" vertical="center" wrapText="1"/>
    </xf>
    <xf numFmtId="0" fontId="0" fillId="0" borderId="0" xfId="0" applyAlignment="1">
      <alignment horizontal="center"/>
    </xf>
    <xf numFmtId="0" fontId="5" fillId="0" borderId="0" xfId="0" applyFont="1"/>
    <xf numFmtId="166" fontId="0" fillId="0" borderId="0" xfId="0" applyNumberFormat="1"/>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0" fillId="0" borderId="0" xfId="0" applyAlignment="1">
      <alignment vertical="top"/>
    </xf>
    <xf numFmtId="14" fontId="0" fillId="0" borderId="0" xfId="0" applyNumberFormat="1" applyAlignment="1">
      <alignment horizontal="center" vertical="top"/>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horizontal="left" vertical="top" wrapText="1"/>
    </xf>
    <xf numFmtId="0" fontId="0" fillId="0" borderId="0" xfId="0" applyAlignment="1">
      <alignment vertical="top" wrapText="1"/>
    </xf>
    <xf numFmtId="165" fontId="5" fillId="0" borderId="0" xfId="0" applyNumberFormat="1" applyFont="1" applyAlignment="1">
      <alignment vertical="top"/>
    </xf>
    <xf numFmtId="16" fontId="0" fillId="0" borderId="0" xfId="0" applyNumberFormat="1" applyAlignment="1">
      <alignment vertical="top"/>
    </xf>
    <xf numFmtId="164" fontId="5" fillId="0" borderId="0" xfId="0" applyNumberFormat="1" applyFont="1" applyAlignment="1">
      <alignment vertical="top"/>
    </xf>
    <xf numFmtId="0" fontId="0" fillId="0" borderId="0" xfId="0" applyAlignment="1">
      <alignment horizontal="center" vertical="top"/>
    </xf>
    <xf numFmtId="0" fontId="4" fillId="0" borderId="0" xfId="0" applyFont="1"/>
    <xf numFmtId="0" fontId="4" fillId="0" borderId="0" xfId="0" applyFont="1" applyAlignment="1">
      <alignment horizontal="center"/>
    </xf>
    <xf numFmtId="164" fontId="4" fillId="0" borderId="0" xfId="0" applyNumberFormat="1" applyFont="1"/>
    <xf numFmtId="165" fontId="4" fillId="0" borderId="0" xfId="0" applyNumberFormat="1" applyFont="1"/>
    <xf numFmtId="0" fontId="4" fillId="0" borderId="0" xfId="0" applyFont="1" applyAlignment="1">
      <alignment vertical="top"/>
    </xf>
    <xf numFmtId="0" fontId="5" fillId="0" borderId="0" xfId="0" applyFont="1" applyAlignment="1">
      <alignment horizontal="left" vertical="top" wrapText="1"/>
    </xf>
    <xf numFmtId="49" fontId="0" fillId="0" borderId="0" xfId="0" applyNumberFormat="1"/>
    <xf numFmtId="167" fontId="0" fillId="0" borderId="0" xfId="0" applyNumberFormat="1"/>
    <xf numFmtId="49" fontId="4" fillId="0" borderId="0" xfId="0" applyNumberFormat="1" applyFont="1"/>
    <xf numFmtId="0" fontId="6" fillId="0" borderId="0" xfId="0" applyFont="1"/>
    <xf numFmtId="0" fontId="7" fillId="0" borderId="0" xfId="0" applyFont="1"/>
    <xf numFmtId="1" fontId="0" fillId="0" borderId="0" xfId="0" applyNumberFormat="1"/>
    <xf numFmtId="0" fontId="9" fillId="5" borderId="0" xfId="0" applyFont="1" applyFill="1"/>
    <xf numFmtId="0" fontId="4" fillId="0" borderId="25" xfId="0" applyFont="1" applyBorder="1"/>
    <xf numFmtId="167" fontId="4" fillId="0" borderId="25" xfId="0" applyNumberFormat="1" applyFont="1" applyBorder="1"/>
    <xf numFmtId="1" fontId="4" fillId="0" borderId="25" xfId="0" applyNumberFormat="1" applyFont="1" applyBorder="1"/>
    <xf numFmtId="1" fontId="7" fillId="0" borderId="0" xfId="0" applyNumberFormat="1" applyFont="1"/>
    <xf numFmtId="0" fontId="4" fillId="0" borderId="3" xfId="0" applyFont="1" applyBorder="1" applyAlignment="1">
      <alignment wrapText="1"/>
    </xf>
    <xf numFmtId="167" fontId="8" fillId="0" borderId="3" xfId="0" applyNumberFormat="1" applyFont="1" applyBorder="1"/>
    <xf numFmtId="49" fontId="0" fillId="0" borderId="0" xfId="0" applyNumberFormat="1" applyAlignment="1">
      <alignment horizontal="left" wrapText="1"/>
    </xf>
    <xf numFmtId="164" fontId="0" fillId="0" borderId="0" xfId="0" applyNumberFormat="1"/>
    <xf numFmtId="164" fontId="4" fillId="0" borderId="25" xfId="0" applyNumberFormat="1" applyFont="1" applyBorder="1"/>
    <xf numFmtId="164" fontId="7" fillId="0" borderId="0" xfId="0" applyNumberFormat="1" applyFont="1"/>
    <xf numFmtId="164" fontId="8" fillId="0" borderId="3" xfId="0" applyNumberFormat="1" applyFont="1" applyBorder="1"/>
    <xf numFmtId="167" fontId="4" fillId="0" borderId="0" xfId="0" applyNumberFormat="1" applyFont="1"/>
    <xf numFmtId="0" fontId="1" fillId="0" borderId="0" xfId="0" applyFont="1" applyAlignment="1">
      <alignment horizontal="center" vertical="center"/>
    </xf>
  </cellXfs>
  <cellStyles count="1">
    <cellStyle name="Normal" xfId="0" builtinId="0"/>
  </cellStyles>
  <dxfs count="38">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5" formatCode="[&lt;1000]0.00&quot; €&quot;;#\.##0.00&quot; €&quot;"/>
    </dxf>
    <dxf>
      <font>
        <b/>
        <i val="0"/>
        <strike val="0"/>
        <condense val="0"/>
        <extend val="0"/>
        <outline val="0"/>
        <shadow val="0"/>
        <u val="none"/>
        <vertAlign val="baseline"/>
        <sz val="11"/>
        <color theme="1"/>
        <name val="Calibri"/>
        <family val="2"/>
        <scheme val="minor"/>
      </font>
      <numFmt numFmtId="165" formatCode="[&lt;1000]0.00&quot; €&quot;;#\.##0.00&quot; €&quot;"/>
    </dxf>
    <dxf>
      <font>
        <b/>
        <i val="0"/>
        <strike val="0"/>
        <condense val="0"/>
        <extend val="0"/>
        <outline val="0"/>
        <shadow val="0"/>
        <u val="none"/>
        <vertAlign val="baseline"/>
        <sz val="11"/>
        <color theme="1"/>
        <name val="Calibri"/>
        <family val="2"/>
        <scheme val="minor"/>
      </font>
      <numFmt numFmtId="165" formatCode="[&lt;1000]0.00&quot; €&quot;;#\.##0.00&quot; €&quot;"/>
    </dxf>
    <dxf>
      <font>
        <b/>
        <i val="0"/>
        <strike val="0"/>
        <condense val="0"/>
        <extend val="0"/>
        <outline val="0"/>
        <shadow val="0"/>
        <u val="none"/>
        <vertAlign val="baseline"/>
        <sz val="11"/>
        <color theme="1"/>
        <name val="Calibri"/>
        <family val="2"/>
        <scheme val="minor"/>
      </font>
      <numFmt numFmtId="164" formatCode="#,##0.00\ &quot;€&quot;"/>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rgb="FFFF0000"/>
      </font>
    </dxf>
    <dxf>
      <font>
        <color rgb="FFFF0000"/>
      </font>
    </dxf>
    <dxf>
      <font>
        <color rgb="FF92D050"/>
      </font>
      <fill>
        <patternFill>
          <bgColor rgb="FF92D050"/>
        </patternFill>
      </fill>
    </dxf>
    <dxf>
      <font>
        <color rgb="FF92D050"/>
      </font>
      <fill>
        <patternFill>
          <bgColor rgb="FF92D050"/>
        </patternFill>
      </fill>
    </dxf>
    <dxf>
      <numFmt numFmtId="30" formatCode="@"/>
      <fill>
        <patternFill patternType="none">
          <fgColor indexed="64"/>
          <bgColor indexed="65"/>
        </patternFill>
      </fill>
    </dxf>
    <dxf>
      <fill>
        <patternFill patternType="none">
          <fgColor indexed="64"/>
          <bgColor indexed="65"/>
        </patternFill>
      </fill>
    </dxf>
    <dxf>
      <numFmt numFmtId="167" formatCode="0.0%"/>
      <fill>
        <patternFill patternType="none">
          <fgColor indexed="64"/>
          <bgColor indexed="65"/>
        </patternFill>
      </fill>
    </dxf>
    <dxf>
      <numFmt numFmtId="164" formatCode="#,##0.00\ &quot;€&quot;"/>
      <fill>
        <patternFill patternType="none">
          <fgColor indexed="64"/>
          <bgColor indexed="65"/>
        </patternFill>
      </fill>
    </dxf>
    <dxf>
      <numFmt numFmtId="164" formatCode="#,##0.00\ &quot;€&quot;"/>
      <fill>
        <patternFill patternType="none">
          <fgColor indexed="64"/>
          <bgColor indexed="65"/>
        </patternFill>
      </fill>
    </dxf>
    <dxf>
      <numFmt numFmtId="164" formatCode="#,##0.00\ &quot;€&quot;"/>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0" indent="0" justifyLastLine="0" shrinkToFit="0" readingOrder="0"/>
    </dxf>
    <dxf>
      <numFmt numFmtId="30" formatCode="@"/>
      <fill>
        <patternFill patternType="none">
          <fgColor indexed="64"/>
          <bgColor indexed="65"/>
        </patternFill>
      </fill>
    </dxf>
    <dxf>
      <fill>
        <patternFill patternType="none">
          <fgColor indexed="64"/>
          <bgColor indexed="65"/>
        </patternFill>
      </fill>
    </dxf>
    <dxf>
      <font>
        <b/>
      </font>
    </dxf>
    <dxf>
      <font>
        <b/>
        <i val="0"/>
        <strike val="0"/>
        <condense val="0"/>
        <extend val="0"/>
        <outline val="0"/>
        <shadow val="0"/>
        <u val="none"/>
        <vertAlign val="baseline"/>
        <sz val="11"/>
        <color theme="1"/>
        <name val="Calibri"/>
        <family val="2"/>
        <scheme val="minor"/>
      </font>
    </dxf>
    <dxf>
      <numFmt numFmtId="30" formatCode="@"/>
      <fill>
        <patternFill patternType="none">
          <fgColor indexed="64"/>
          <bgColor indexed="65"/>
        </patternFill>
      </fill>
      <alignment horizontal="left" vertical="bottom" textRotation="0" wrapText="1" indent="0" justifyLastLine="0" shrinkToFit="0" readingOrder="0"/>
    </dxf>
    <dxf>
      <fill>
        <patternFill patternType="none">
          <fgColor indexed="64"/>
          <bgColor indexed="65"/>
        </patternFill>
      </fill>
      <alignment horizontal="left" vertical="top" textRotation="0" wrapText="1" indent="0" justifyLastLine="0" shrinkToFit="0" readingOrder="0"/>
    </dxf>
    <dxf>
      <numFmt numFmtId="165" formatCode="[&lt;1000]0.00&quot; €&quot;;#\.##0.00&quot; €&quot;"/>
      <fill>
        <patternFill patternType="none">
          <fgColor indexed="64"/>
          <bgColor indexed="65"/>
        </patternFill>
      </fill>
      <alignment horizontal="general" vertical="top" textRotation="0" wrapText="0" indent="0" justifyLastLine="0" shrinkToFit="0" readingOrder="0"/>
    </dxf>
    <dxf>
      <numFmt numFmtId="165" formatCode="[&lt;1000]0.00&quot; €&quot;;#\.##0.00&quot; €&quot;"/>
      <fill>
        <patternFill patternType="none">
          <fgColor indexed="64"/>
          <bgColor indexed="65"/>
        </patternFill>
      </fill>
      <alignment vertical="top" textRotation="0" indent="0" justifyLastLine="0" shrinkToFit="0" readingOrder="0"/>
    </dxf>
    <dxf>
      <numFmt numFmtId="165" formatCode="[&lt;1000]0.00&quot; €&quot;;#\.##0.00&quot; €&quot;"/>
      <fill>
        <patternFill patternType="none">
          <fgColor indexed="64"/>
          <bgColor indexed="65"/>
        </patternFill>
      </fill>
      <alignment horizontal="general" vertical="top" textRotation="0" wrapText="0" indent="0" justifyLastLine="0" shrinkToFit="0" readingOrder="0"/>
    </dxf>
    <dxf>
      <numFmt numFmtId="164" formatCode="#,##0.00\ &quot;€&quot;"/>
      <fill>
        <patternFill patternType="none">
          <fgColor indexed="64"/>
          <bgColor indexed="65"/>
        </patternFill>
      </fill>
      <alignment vertical="top" textRotation="0" indent="0" justifyLastLine="0" shrinkToFit="0" readingOrder="0"/>
    </dxf>
    <dxf>
      <font>
        <b/>
        <i val="0"/>
        <strike val="0"/>
        <condense val="0"/>
        <extend val="0"/>
        <outline val="0"/>
        <shadow val="0"/>
        <u val="none"/>
        <vertAlign val="baseline"/>
        <sz val="11"/>
        <color theme="1"/>
        <name val="Calibri"/>
        <family val="2"/>
        <scheme val="minor"/>
      </font>
    </dxf>
    <dxf>
      <fill>
        <patternFill patternType="none">
          <fgColor indexed="64"/>
          <bgColor indexed="65"/>
        </patternFill>
      </fill>
      <alignment vertical="top" textRotation="0" indent="0" justifyLastLine="0" shrinkToFit="0" readingOrder="0"/>
    </dxf>
    <dxf>
      <numFmt numFmtId="19" formatCode="dd/mm/yyyy"/>
      <fill>
        <patternFill patternType="none">
          <fgColor indexed="64"/>
          <bgColor indexed="65"/>
        </patternFill>
      </fill>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patternType="none">
          <fgColor indexed="64"/>
          <bgColor indexed="65"/>
        </patternFill>
      </fill>
      <alignment vertical="top" textRotation="0" indent="0" justifyLastLine="0" shrinkToFit="0" readingOrder="0"/>
    </dxf>
    <dxf>
      <font>
        <b/>
      </font>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1"/>
        <color theme="1"/>
        <name val="Calibri"/>
        <family val="2"/>
        <scheme val="minor"/>
      </font>
      <fill>
        <patternFill patternType="solid">
          <fgColor indexed="64"/>
          <bgColor theme="2" tint="-0.749992370372631"/>
        </patternFill>
      </fill>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3147646</xdr:colOff>
      <xdr:row>2</xdr:row>
      <xdr:rowOff>32240</xdr:rowOff>
    </xdr:from>
    <xdr:to>
      <xdr:col>2</xdr:col>
      <xdr:colOff>661473</xdr:colOff>
      <xdr:row>9</xdr:row>
      <xdr:rowOff>178045</xdr:rowOff>
    </xdr:to>
    <xdr:pic>
      <xdr:nvPicPr>
        <xdr:cNvPr id="4" name="Imagem 3" descr="C:\Users\VII1\OneDrive\Ambiente de Trabalho\Vilatro_Logo.jpeg">
          <a:extLst>
            <a:ext uri="{FF2B5EF4-FFF2-40B4-BE49-F238E27FC236}">
              <a16:creationId xmlns:a16="http://schemas.microsoft.com/office/drawing/2014/main" id="{E00740B0-7A97-4DA7-B36F-6840ACFF0A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4846" y="407378"/>
          <a:ext cx="1863089" cy="1640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161742-C7E1-4A84-8DD7-B10CEAD4F56E}" name="TabelaDespesas" displayName="TabelaDespesas" ref="A1:I55" totalsRowCount="1" headerRowDxfId="37" dataDxfId="36" totalsRowDxfId="35">
  <autoFilter ref="A1:I54" xr:uid="{21161742-C7E1-4A84-8DD7-B10CEAD4F56E}"/>
  <sortState xmlns:xlrd2="http://schemas.microsoft.com/office/spreadsheetml/2017/richdata2" ref="A2:I54">
    <sortCondition descending="1" ref="B1:B54"/>
  </sortState>
  <tableColumns count="9">
    <tableColumn id="1" xr3:uid="{B4342E5D-164C-44E0-865D-95044C32A1F1}" name="Nº Fatura" totalsRowLabel="TOTAL" dataDxfId="34" totalsRowDxfId="33"/>
    <tableColumn id="3" xr3:uid="{298D2F8B-F744-464B-B3EA-C574ACCD53C7}" name="Data" dataDxfId="32" totalsRowDxfId="5"/>
    <tableColumn id="2" xr3:uid="{7560E54A-B29F-431A-B85E-FBEE5EE1C227}" name="Produto/Serviço" dataDxfId="31" totalsRowDxfId="30"/>
    <tableColumn id="4" xr3:uid="{B68EDF7F-A903-41F0-9C6A-4B9F185680C5}" name="Valor" totalsRowFunction="sum" dataDxfId="29" totalsRowDxfId="4"/>
    <tableColumn id="6" xr3:uid="{99DC0331-7D12-407A-94BE-00B0C24C1EB0}" name="Liquidada" dataDxfId="28" totalsRowDxfId="3"/>
    <tableColumn id="7" xr3:uid="{0F605273-3E05-4E92-A9BB-D44C84A9C01D}" name="Metodo _x000a_Pagamento" dataDxfId="27" totalsRowDxfId="2"/>
    <tableColumn id="8" xr3:uid="{6732847E-0060-4013-A624-D75E495FBEE0}" name="Bizdocs" dataDxfId="26" totalsRowDxfId="1"/>
    <tableColumn id="10" xr3:uid="{BE616754-E5EC-4AD2-8C6F-B3DB26AE17E3}" name="Observações" dataDxfId="25" totalsRowDxfId="0"/>
    <tableColumn id="5" xr3:uid="{090063C6-CBE6-44D4-A000-9A364537071D}" name="Rubrica" dataDxfId="24" totalsRow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DE6210-D917-42B0-A210-13185A2943EF}" name="TabelaRubricas" displayName="TabelaRubricas" ref="A1:K175" totalsRowShown="0" headerRowDxfId="22" dataDxfId="21">
  <autoFilter ref="A1:K175" xr:uid="{BFDE6210-D917-42B0-A210-13185A2943EF}"/>
  <tableColumns count="11">
    <tableColumn id="1" xr3:uid="{0DF49E77-87F1-41C0-86FF-20ABBCBFA13A}" name="Art" dataDxfId="20"/>
    <tableColumn id="2" xr3:uid="{A93E9E7D-F15A-4912-9D64-BABAB847C8D8}" name="Descrição" dataDxfId="19"/>
    <tableColumn id="3" xr3:uid="{A42F7C99-22AA-4B3C-A770-BF368C4F78BD}" name="Cap" dataDxfId="18"/>
    <tableColumn id="4" xr3:uid="{58DB25CE-9F1E-4758-BC0F-BC512EA5FBFD}" name="Nível" dataDxfId="17"/>
    <tableColumn id="5" xr3:uid="{845D7124-7972-4F3A-B547-C8EEA6DA9181}" name="Tipo" dataDxfId="16"/>
    <tableColumn id="6" xr3:uid="{8569D284-4B2C-46FA-9EB0-756251564BE4}" name="Orçamentado" dataDxfId="15"/>
    <tableColumn id="7" xr3:uid="{ABC155D5-6E82-427D-9CFC-78F2DD2C8222}" name="Gasto" dataDxfId="14">
      <calculatedColumnFormula>SUMIF(TabelaDespesas[Rubrica],$K2,TabelaDespesas[Valor])+SUMIF(TabelaDespesas[Rubrica],$A2,TabelaDespesas[Valor])+SUMIF(TabelaDespesas[Rubrica],$A2&amp;".",TabelaDespesas[Valor])</calculatedColumnFormula>
    </tableColumn>
    <tableColumn id="8" xr3:uid="{D013DC6B-5AF5-4588-AC1C-57CCDFFB1327}" name="Saldo" dataDxfId="13">
      <calculatedColumnFormula>F2-G2</calculatedColumnFormula>
    </tableColumn>
    <tableColumn id="9" xr3:uid="{D77FA7C7-E12F-4BAD-8A33-E5AE674D6098}" name="% consumido" dataDxfId="12">
      <calculatedColumnFormula>IF(F2=0,"",G2/F2)</calculatedColumnFormula>
    </tableColumn>
    <tableColumn id="10" xr3:uid="{BB2E2E66-E4F2-44AA-A82A-503B3F435348}" name="Nº faturas" dataDxfId="11">
      <calculatedColumnFormula>COUNTIF(TabelaDespesas[Rubrica],$K2)+COUNTIF(TabelaDespesas[Rubrica],$A2)+COUNTIF(TabelaDespesas[Rubrica],$A2&amp;".")</calculatedColumnFormula>
    </tableColumn>
    <tableColumn id="11" xr3:uid="{E8564209-01E9-443E-B012-23527DED923E}" name="Etiqueta" dataDxfId="10"/>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CCFBE-E3B9-4695-A837-722573BBEF16}">
  <dimension ref="A2:F245"/>
  <sheetViews>
    <sheetView topLeftCell="A206" zoomScale="130" zoomScaleNormal="130" workbookViewId="0">
      <selection activeCell="A13" sqref="A13"/>
    </sheetView>
  </sheetViews>
  <sheetFormatPr defaultRowHeight="14.4" x14ac:dyDescent="0.3"/>
  <cols>
    <col min="1" max="1" width="6.6640625" style="8" bestFit="1" customWidth="1"/>
    <col min="2" max="2" width="63.44140625" style="8" bestFit="1" customWidth="1"/>
    <col min="3" max="3" width="10" style="8" bestFit="1" customWidth="1"/>
  </cols>
  <sheetData>
    <row r="2" spans="1:6" ht="15" thickBot="1" x14ac:dyDescent="0.35">
      <c r="A2" s="96" t="s">
        <v>388</v>
      </c>
      <c r="B2" s="96"/>
      <c r="C2" s="96"/>
    </row>
    <row r="3" spans="1:6" ht="32.25" customHeight="1" thickTop="1" x14ac:dyDescent="0.3">
      <c r="A3" s="1" t="s">
        <v>290</v>
      </c>
      <c r="B3" s="55" t="s">
        <v>280</v>
      </c>
      <c r="C3" s="2"/>
    </row>
    <row r="4" spans="1:6" x14ac:dyDescent="0.3">
      <c r="A4" s="3"/>
      <c r="B4" s="4" t="s">
        <v>289</v>
      </c>
      <c r="C4" s="5"/>
    </row>
    <row r="5" spans="1:6" x14ac:dyDescent="0.3">
      <c r="A5" s="3"/>
      <c r="B5" s="6" t="s">
        <v>291</v>
      </c>
      <c r="C5" s="5"/>
    </row>
    <row r="6" spans="1:6" x14ac:dyDescent="0.3">
      <c r="A6" s="3"/>
      <c r="B6" s="7" t="s">
        <v>281</v>
      </c>
      <c r="C6" s="5"/>
    </row>
    <row r="7" spans="1:6" x14ac:dyDescent="0.3">
      <c r="A7" s="9"/>
      <c r="B7" s="10" t="s">
        <v>282</v>
      </c>
      <c r="C7" s="5"/>
    </row>
    <row r="8" spans="1:6" x14ac:dyDescent="0.3">
      <c r="A8" s="11" t="s">
        <v>279</v>
      </c>
      <c r="B8" s="12"/>
      <c r="C8" s="5"/>
    </row>
    <row r="9" spans="1:6" x14ac:dyDescent="0.3">
      <c r="A9" s="11" t="s">
        <v>0</v>
      </c>
      <c r="B9" s="12"/>
      <c r="C9" s="5"/>
      <c r="F9" s="57"/>
    </row>
    <row r="10" spans="1:6" ht="15" thickBot="1" x14ac:dyDescent="0.35">
      <c r="A10" s="13" t="s">
        <v>1</v>
      </c>
      <c r="B10" s="14"/>
      <c r="C10" s="15"/>
    </row>
    <row r="11" spans="1:6" x14ac:dyDescent="0.3">
      <c r="A11" s="16" t="s">
        <v>389</v>
      </c>
      <c r="B11" s="17" t="s">
        <v>2</v>
      </c>
      <c r="C11" s="18" t="s">
        <v>3</v>
      </c>
    </row>
    <row r="12" spans="1:6" x14ac:dyDescent="0.3">
      <c r="A12" s="19"/>
      <c r="B12" s="20"/>
      <c r="C12" s="21"/>
    </row>
    <row r="13" spans="1:6" x14ac:dyDescent="0.3">
      <c r="A13" s="22" t="s">
        <v>10</v>
      </c>
      <c r="B13" s="23" t="s">
        <v>13</v>
      </c>
      <c r="C13" s="24">
        <v>63359.200000000004</v>
      </c>
    </row>
    <row r="14" spans="1:6" ht="24.6" x14ac:dyDescent="0.3">
      <c r="A14" s="19" t="s">
        <v>283</v>
      </c>
      <c r="B14" s="25" t="s">
        <v>9</v>
      </c>
      <c r="C14" s="26"/>
    </row>
    <row r="15" spans="1:6" x14ac:dyDescent="0.3">
      <c r="A15" s="19" t="s">
        <v>284</v>
      </c>
      <c r="B15" s="20" t="s">
        <v>4</v>
      </c>
      <c r="C15" s="26">
        <v>25000</v>
      </c>
    </row>
    <row r="16" spans="1:6" x14ac:dyDescent="0.3">
      <c r="A16" s="19" t="s">
        <v>285</v>
      </c>
      <c r="B16" s="20" t="s">
        <v>5</v>
      </c>
      <c r="C16" s="26">
        <v>32000</v>
      </c>
    </row>
    <row r="17" spans="1:3" x14ac:dyDescent="0.3">
      <c r="A17" s="19" t="s">
        <v>286</v>
      </c>
      <c r="B17" s="20" t="s">
        <v>6</v>
      </c>
      <c r="C17" s="26">
        <v>5325</v>
      </c>
    </row>
    <row r="18" spans="1:3" x14ac:dyDescent="0.3">
      <c r="A18" s="19"/>
      <c r="B18" s="20"/>
      <c r="C18" s="26"/>
    </row>
    <row r="19" spans="1:3" ht="60.6" customHeight="1" x14ac:dyDescent="0.3">
      <c r="A19" s="19" t="s">
        <v>287</v>
      </c>
      <c r="B19" s="27" t="s">
        <v>7</v>
      </c>
      <c r="C19" s="26">
        <v>705.72</v>
      </c>
    </row>
    <row r="20" spans="1:3" x14ac:dyDescent="0.3">
      <c r="A20" s="19"/>
      <c r="B20" s="20"/>
      <c r="C20" s="26"/>
    </row>
    <row r="21" spans="1:3" ht="24.6" x14ac:dyDescent="0.3">
      <c r="A21" s="19" t="s">
        <v>288</v>
      </c>
      <c r="B21" s="27" t="s">
        <v>8</v>
      </c>
      <c r="C21" s="26">
        <v>328.48</v>
      </c>
    </row>
    <row r="22" spans="1:3" x14ac:dyDescent="0.3">
      <c r="A22" s="22" t="s">
        <v>12</v>
      </c>
      <c r="B22" s="23" t="s">
        <v>14</v>
      </c>
      <c r="C22" s="24">
        <v>42000</v>
      </c>
    </row>
    <row r="23" spans="1:3" ht="24.6" x14ac:dyDescent="0.3">
      <c r="A23" s="19" t="s">
        <v>16</v>
      </c>
      <c r="B23" s="27" t="s">
        <v>11</v>
      </c>
      <c r="C23" s="26">
        <v>42000</v>
      </c>
    </row>
    <row r="24" spans="1:3" x14ac:dyDescent="0.3">
      <c r="A24" s="22" t="s">
        <v>23</v>
      </c>
      <c r="B24" s="23" t="s">
        <v>15</v>
      </c>
      <c r="C24" s="24">
        <v>34299.86</v>
      </c>
    </row>
    <row r="25" spans="1:3" ht="60.6" x14ac:dyDescent="0.3">
      <c r="A25" s="19" t="s">
        <v>25</v>
      </c>
      <c r="B25" s="27" t="s">
        <v>17</v>
      </c>
      <c r="C25" s="26">
        <v>28161.72</v>
      </c>
    </row>
    <row r="26" spans="1:3" x14ac:dyDescent="0.3">
      <c r="A26" s="19"/>
      <c r="B26" s="28" t="s">
        <v>18</v>
      </c>
      <c r="C26" s="26"/>
    </row>
    <row r="27" spans="1:3" ht="24" x14ac:dyDescent="0.3">
      <c r="A27" s="19"/>
      <c r="B27" s="29" t="s">
        <v>19</v>
      </c>
      <c r="C27" s="26"/>
    </row>
    <row r="28" spans="1:3" ht="60.6" x14ac:dyDescent="0.3">
      <c r="A28" s="19" t="s">
        <v>27</v>
      </c>
      <c r="B28" s="27" t="s">
        <v>21</v>
      </c>
      <c r="C28" s="26">
        <v>4333.0640000000003</v>
      </c>
    </row>
    <row r="29" spans="1:3" x14ac:dyDescent="0.3">
      <c r="A29" s="19"/>
      <c r="B29" s="28" t="s">
        <v>18</v>
      </c>
      <c r="C29" s="26"/>
    </row>
    <row r="30" spans="1:3" ht="36.6" x14ac:dyDescent="0.3">
      <c r="A30" s="19" t="s">
        <v>33</v>
      </c>
      <c r="B30" s="27" t="s">
        <v>22</v>
      </c>
      <c r="C30" s="26">
        <v>1805.076</v>
      </c>
    </row>
    <row r="31" spans="1:3" x14ac:dyDescent="0.3">
      <c r="A31" s="22" t="s">
        <v>45</v>
      </c>
      <c r="B31" s="23" t="s">
        <v>24</v>
      </c>
      <c r="C31" s="24">
        <v>563696.29590000003</v>
      </c>
    </row>
    <row r="32" spans="1:3" ht="36.6" x14ac:dyDescent="0.3">
      <c r="A32" s="19" t="s">
        <v>47</v>
      </c>
      <c r="B32" s="27" t="s">
        <v>26</v>
      </c>
      <c r="C32" s="26">
        <v>3440.6834000000003</v>
      </c>
    </row>
    <row r="33" spans="1:3" ht="48.6" x14ac:dyDescent="0.3">
      <c r="A33" s="19" t="s">
        <v>48</v>
      </c>
      <c r="B33" s="27" t="s">
        <v>28</v>
      </c>
      <c r="C33" s="30"/>
    </row>
    <row r="34" spans="1:3" x14ac:dyDescent="0.3">
      <c r="A34" s="19" t="s">
        <v>292</v>
      </c>
      <c r="B34" s="20" t="s">
        <v>29</v>
      </c>
      <c r="C34" s="31">
        <v>12686.919</v>
      </c>
    </row>
    <row r="35" spans="1:3" x14ac:dyDescent="0.3">
      <c r="A35" s="19" t="s">
        <v>293</v>
      </c>
      <c r="B35" s="27" t="s">
        <v>30</v>
      </c>
      <c r="C35" s="31">
        <v>17890.555499999999</v>
      </c>
    </row>
    <row r="36" spans="1:3" x14ac:dyDescent="0.3">
      <c r="A36" s="19" t="s">
        <v>294</v>
      </c>
      <c r="B36" s="20" t="s">
        <v>31</v>
      </c>
      <c r="C36" s="31">
        <v>3458.4137999999998</v>
      </c>
    </row>
    <row r="37" spans="1:3" x14ac:dyDescent="0.3">
      <c r="A37" s="19" t="s">
        <v>295</v>
      </c>
      <c r="B37" s="27" t="s">
        <v>32</v>
      </c>
      <c r="C37" s="31">
        <v>4890.4812000000002</v>
      </c>
    </row>
    <row r="38" spans="1:3" x14ac:dyDescent="0.3">
      <c r="A38" s="19"/>
      <c r="B38" s="20"/>
      <c r="C38" s="54"/>
    </row>
    <row r="39" spans="1:3" ht="48.6" x14ac:dyDescent="0.3">
      <c r="A39" s="19" t="s">
        <v>49</v>
      </c>
      <c r="B39" s="27" t="s">
        <v>34</v>
      </c>
      <c r="C39" s="31"/>
    </row>
    <row r="40" spans="1:3" x14ac:dyDescent="0.3">
      <c r="A40" s="19" t="s">
        <v>296</v>
      </c>
      <c r="B40" s="20" t="s">
        <v>35</v>
      </c>
      <c r="C40" s="31">
        <v>123300</v>
      </c>
    </row>
    <row r="41" spans="1:3" x14ac:dyDescent="0.3">
      <c r="A41" s="19" t="s">
        <v>297</v>
      </c>
      <c r="B41" s="20" t="s">
        <v>36</v>
      </c>
      <c r="C41" s="31">
        <v>58085.494200000001</v>
      </c>
    </row>
    <row r="42" spans="1:3" x14ac:dyDescent="0.3">
      <c r="A42" s="19" t="s">
        <v>298</v>
      </c>
      <c r="B42" s="20" t="s">
        <v>37</v>
      </c>
      <c r="C42" s="31">
        <v>79079.409499999994</v>
      </c>
    </row>
    <row r="43" spans="1:3" x14ac:dyDescent="0.3">
      <c r="A43" s="19" t="s">
        <v>299</v>
      </c>
      <c r="B43" s="20" t="s">
        <v>38</v>
      </c>
      <c r="C43" s="31">
        <v>8811.686099999999</v>
      </c>
    </row>
    <row r="44" spans="1:3" x14ac:dyDescent="0.3">
      <c r="A44" s="19" t="s">
        <v>300</v>
      </c>
      <c r="B44" s="20" t="s">
        <v>39</v>
      </c>
      <c r="C44" s="31">
        <v>222144.05</v>
      </c>
    </row>
    <row r="45" spans="1:3" x14ac:dyDescent="0.3">
      <c r="A45" s="19"/>
      <c r="B45" s="28" t="s">
        <v>40</v>
      </c>
      <c r="C45" s="31"/>
    </row>
    <row r="46" spans="1:3" x14ac:dyDescent="0.3">
      <c r="A46" s="19"/>
      <c r="B46" s="20"/>
      <c r="C46" s="31"/>
    </row>
    <row r="47" spans="1:3" ht="36.6" x14ac:dyDescent="0.3">
      <c r="A47" s="19" t="s">
        <v>50</v>
      </c>
      <c r="B47" s="27" t="s">
        <v>41</v>
      </c>
      <c r="C47" s="31">
        <v>29446.644799999998</v>
      </c>
    </row>
    <row r="48" spans="1:3" x14ac:dyDescent="0.3">
      <c r="A48" s="19"/>
      <c r="B48" s="28" t="s">
        <v>42</v>
      </c>
      <c r="C48" s="31"/>
    </row>
    <row r="49" spans="1:3" ht="48.6" x14ac:dyDescent="0.3">
      <c r="A49" s="19" t="s">
        <v>51</v>
      </c>
      <c r="B49" s="27" t="s">
        <v>43</v>
      </c>
      <c r="C49" s="31"/>
    </row>
    <row r="50" spans="1:3" x14ac:dyDescent="0.3">
      <c r="A50" s="19" t="s">
        <v>301</v>
      </c>
      <c r="B50" s="20" t="s">
        <v>44</v>
      </c>
      <c r="C50" s="31">
        <v>461.95839999999998</v>
      </c>
    </row>
    <row r="51" spans="1:3" x14ac:dyDescent="0.3">
      <c r="A51" s="22" t="s">
        <v>58</v>
      </c>
      <c r="B51" s="32" t="s">
        <v>46</v>
      </c>
      <c r="C51" s="24">
        <v>111400.77849999999</v>
      </c>
    </row>
    <row r="52" spans="1:3" ht="36.6" x14ac:dyDescent="0.3">
      <c r="A52" s="19" t="s">
        <v>60</v>
      </c>
      <c r="B52" s="27" t="s">
        <v>52</v>
      </c>
      <c r="C52" s="31">
        <v>56797.441999999995</v>
      </c>
    </row>
    <row r="53" spans="1:3" ht="36.6" x14ac:dyDescent="0.3">
      <c r="A53" s="19" t="s">
        <v>61</v>
      </c>
      <c r="B53" s="27" t="s">
        <v>53</v>
      </c>
      <c r="C53" s="31">
        <v>10940.269</v>
      </c>
    </row>
    <row r="54" spans="1:3" ht="24.6" x14ac:dyDescent="0.3">
      <c r="A54" s="19" t="s">
        <v>63</v>
      </c>
      <c r="B54" s="27" t="s">
        <v>54</v>
      </c>
      <c r="C54" s="31">
        <v>149.17850000000001</v>
      </c>
    </row>
    <row r="55" spans="1:3" ht="48.6" x14ac:dyDescent="0.3">
      <c r="A55" s="19" t="s">
        <v>65</v>
      </c>
      <c r="B55" s="27" t="s">
        <v>55</v>
      </c>
      <c r="C55" s="31">
        <v>34648.353999999999</v>
      </c>
    </row>
    <row r="56" spans="1:3" ht="24.6" x14ac:dyDescent="0.3">
      <c r="A56" s="19" t="s">
        <v>71</v>
      </c>
      <c r="B56" s="27" t="s">
        <v>56</v>
      </c>
      <c r="C56" s="31">
        <v>216.89499999999998</v>
      </c>
    </row>
    <row r="57" spans="1:3" ht="24.6" x14ac:dyDescent="0.3">
      <c r="A57" s="19" t="s">
        <v>302</v>
      </c>
      <c r="B57" s="27" t="s">
        <v>57</v>
      </c>
      <c r="C57" s="31">
        <v>8648.64</v>
      </c>
    </row>
    <row r="58" spans="1:3" x14ac:dyDescent="0.3">
      <c r="A58" s="22" t="s">
        <v>72</v>
      </c>
      <c r="B58" s="32" t="s">
        <v>59</v>
      </c>
      <c r="C58" s="24">
        <v>154438.14369999999</v>
      </c>
    </row>
    <row r="59" spans="1:3" x14ac:dyDescent="0.3">
      <c r="A59" s="19" t="s">
        <v>74</v>
      </c>
      <c r="B59" s="27" t="s">
        <v>20</v>
      </c>
      <c r="C59" s="31">
        <v>8430.1551999999992</v>
      </c>
    </row>
    <row r="60" spans="1:3" x14ac:dyDescent="0.3">
      <c r="A60" s="19" t="s">
        <v>76</v>
      </c>
      <c r="B60" s="20" t="s">
        <v>62</v>
      </c>
      <c r="C60" s="31">
        <v>2138.9250000000002</v>
      </c>
    </row>
    <row r="61" spans="1:3" ht="48.6" x14ac:dyDescent="0.3">
      <c r="A61" s="19" t="s">
        <v>79</v>
      </c>
      <c r="B61" s="27" t="s">
        <v>64</v>
      </c>
      <c r="C61" s="31">
        <v>113404.0935</v>
      </c>
    </row>
    <row r="62" spans="1:3" ht="36.6" x14ac:dyDescent="0.3">
      <c r="A62" s="19" t="s">
        <v>303</v>
      </c>
      <c r="B62" s="27" t="s">
        <v>66</v>
      </c>
      <c r="C62" s="31"/>
    </row>
    <row r="63" spans="1:3" x14ac:dyDescent="0.3">
      <c r="A63" s="19" t="s">
        <v>304</v>
      </c>
      <c r="B63" s="20" t="s">
        <v>67</v>
      </c>
      <c r="C63" s="31">
        <v>1316.182</v>
      </c>
    </row>
    <row r="64" spans="1:3" x14ac:dyDescent="0.3">
      <c r="A64" s="19" t="s">
        <v>305</v>
      </c>
      <c r="B64" s="20" t="s">
        <v>68</v>
      </c>
      <c r="C64" s="31">
        <v>20536.108</v>
      </c>
    </row>
    <row r="65" spans="1:3" x14ac:dyDescent="0.3">
      <c r="A65" s="19" t="s">
        <v>306</v>
      </c>
      <c r="B65" s="20" t="s">
        <v>69</v>
      </c>
      <c r="C65" s="31">
        <v>1572.4</v>
      </c>
    </row>
    <row r="66" spans="1:3" ht="24.6" x14ac:dyDescent="0.3">
      <c r="A66" s="19" t="s">
        <v>307</v>
      </c>
      <c r="B66" s="27" t="s">
        <v>70</v>
      </c>
      <c r="C66" s="31">
        <v>7040.2800000000007</v>
      </c>
    </row>
    <row r="67" spans="1:3" x14ac:dyDescent="0.3">
      <c r="A67" s="22" t="s">
        <v>82</v>
      </c>
      <c r="B67" s="32" t="s">
        <v>73</v>
      </c>
      <c r="C67" s="24">
        <v>16466.201499999999</v>
      </c>
    </row>
    <row r="68" spans="1:3" ht="36.6" x14ac:dyDescent="0.3">
      <c r="A68" s="19" t="s">
        <v>84</v>
      </c>
      <c r="B68" s="27" t="s">
        <v>75</v>
      </c>
      <c r="C68" s="31">
        <v>719.15359999999998</v>
      </c>
    </row>
    <row r="69" spans="1:3" ht="36.6" x14ac:dyDescent="0.3">
      <c r="A69" s="19" t="s">
        <v>86</v>
      </c>
      <c r="B69" s="27" t="s">
        <v>77</v>
      </c>
      <c r="C69" s="31"/>
    </row>
    <row r="70" spans="1:3" x14ac:dyDescent="0.3">
      <c r="A70" s="19"/>
      <c r="B70" s="33" t="s">
        <v>78</v>
      </c>
      <c r="C70" s="34">
        <v>8513.3474999999999</v>
      </c>
    </row>
    <row r="71" spans="1:3" ht="24.6" x14ac:dyDescent="0.3">
      <c r="A71" s="19" t="s">
        <v>88</v>
      </c>
      <c r="B71" s="27" t="s">
        <v>80</v>
      </c>
      <c r="C71" s="31">
        <v>7233.7003999999997</v>
      </c>
    </row>
    <row r="72" spans="1:3" x14ac:dyDescent="0.3">
      <c r="A72" s="22" t="s">
        <v>97</v>
      </c>
      <c r="B72" s="32" t="s">
        <v>81</v>
      </c>
      <c r="C72" s="24">
        <v>135519.25390000001</v>
      </c>
    </row>
    <row r="73" spans="1:3" x14ac:dyDescent="0.3">
      <c r="A73" s="19"/>
      <c r="B73" s="28" t="s">
        <v>83</v>
      </c>
      <c r="C73" s="31"/>
    </row>
    <row r="74" spans="1:3" ht="48.6" x14ac:dyDescent="0.3">
      <c r="A74" s="19" t="s">
        <v>99</v>
      </c>
      <c r="B74" s="27" t="s">
        <v>85</v>
      </c>
      <c r="C74" s="31">
        <v>91855.987800000003</v>
      </c>
    </row>
    <row r="75" spans="1:3" x14ac:dyDescent="0.3">
      <c r="A75" s="19"/>
      <c r="B75" s="20"/>
      <c r="C75" s="31"/>
    </row>
    <row r="76" spans="1:3" x14ac:dyDescent="0.3">
      <c r="A76" s="19" t="s">
        <v>101</v>
      </c>
      <c r="B76" s="20" t="s">
        <v>87</v>
      </c>
      <c r="C76" s="31">
        <v>1096.0611000000001</v>
      </c>
    </row>
    <row r="77" spans="1:3" ht="24.6" x14ac:dyDescent="0.3">
      <c r="A77" s="19" t="s">
        <v>101</v>
      </c>
      <c r="B77" s="27" t="s">
        <v>89</v>
      </c>
      <c r="C77" s="31">
        <v>8076.8432000000003</v>
      </c>
    </row>
    <row r="78" spans="1:3" ht="24.6" x14ac:dyDescent="0.3">
      <c r="A78" s="19" t="s">
        <v>104</v>
      </c>
      <c r="B78" s="27" t="s">
        <v>90</v>
      </c>
      <c r="C78" s="31"/>
    </row>
    <row r="79" spans="1:3" x14ac:dyDescent="0.3">
      <c r="A79" s="19" t="s">
        <v>308</v>
      </c>
      <c r="B79" s="20" t="s">
        <v>91</v>
      </c>
      <c r="C79" s="31"/>
    </row>
    <row r="80" spans="1:3" x14ac:dyDescent="0.3">
      <c r="A80" s="19" t="s">
        <v>309</v>
      </c>
      <c r="B80" s="20" t="s">
        <v>92</v>
      </c>
      <c r="C80" s="31"/>
    </row>
    <row r="81" spans="1:3" x14ac:dyDescent="0.3">
      <c r="A81" s="19" t="s">
        <v>310</v>
      </c>
      <c r="B81" s="20" t="s">
        <v>93</v>
      </c>
      <c r="C81" s="31"/>
    </row>
    <row r="82" spans="1:3" x14ac:dyDescent="0.3">
      <c r="A82" s="19"/>
      <c r="B82" s="33" t="s">
        <v>94</v>
      </c>
      <c r="C82" s="34">
        <v>12471.124400000001</v>
      </c>
    </row>
    <row r="83" spans="1:3" ht="24.6" x14ac:dyDescent="0.3">
      <c r="A83" s="19" t="s">
        <v>106</v>
      </c>
      <c r="B83" s="27" t="s">
        <v>95</v>
      </c>
      <c r="C83" s="31"/>
    </row>
    <row r="84" spans="1:3" x14ac:dyDescent="0.3">
      <c r="A84" s="19"/>
      <c r="B84" s="35" t="s">
        <v>96</v>
      </c>
      <c r="C84" s="34">
        <v>22019.237400000002</v>
      </c>
    </row>
    <row r="85" spans="1:3" x14ac:dyDescent="0.3">
      <c r="A85" s="22" t="s">
        <v>136</v>
      </c>
      <c r="B85" s="32" t="s">
        <v>98</v>
      </c>
      <c r="C85" s="24">
        <v>393014.1226</v>
      </c>
    </row>
    <row r="86" spans="1:3" x14ac:dyDescent="0.3">
      <c r="A86" s="19"/>
      <c r="B86" s="28" t="s">
        <v>83</v>
      </c>
      <c r="C86" s="31"/>
    </row>
    <row r="87" spans="1:3" ht="24.6" x14ac:dyDescent="0.3">
      <c r="A87" s="19" t="s">
        <v>137</v>
      </c>
      <c r="B87" s="27" t="s">
        <v>100</v>
      </c>
      <c r="C87" s="31">
        <v>6570.585</v>
      </c>
    </row>
    <row r="88" spans="1:3" ht="36.6" x14ac:dyDescent="0.3">
      <c r="A88" s="19" t="s">
        <v>139</v>
      </c>
      <c r="B88" s="27" t="s">
        <v>102</v>
      </c>
      <c r="C88" s="31">
        <v>21082.739999999998</v>
      </c>
    </row>
    <row r="89" spans="1:3" ht="36.6" x14ac:dyDescent="0.3">
      <c r="A89" s="19" t="s">
        <v>141</v>
      </c>
      <c r="B89" s="27" t="s">
        <v>103</v>
      </c>
      <c r="C89" s="31">
        <v>4084.8287999999998</v>
      </c>
    </row>
    <row r="90" spans="1:3" x14ac:dyDescent="0.3">
      <c r="A90" s="19" t="s">
        <v>143</v>
      </c>
      <c r="B90" s="20" t="s">
        <v>105</v>
      </c>
      <c r="C90" s="31"/>
    </row>
    <row r="91" spans="1:3" ht="24.6" x14ac:dyDescent="0.3">
      <c r="A91" s="19" t="s">
        <v>145</v>
      </c>
      <c r="B91" s="27" t="s">
        <v>107</v>
      </c>
      <c r="C91" s="31">
        <v>27603.485000000001</v>
      </c>
    </row>
    <row r="92" spans="1:3" ht="24.6" x14ac:dyDescent="0.3">
      <c r="A92" s="19" t="s">
        <v>146</v>
      </c>
      <c r="B92" s="27" t="s">
        <v>108</v>
      </c>
      <c r="C92" s="31">
        <v>3318.7063999999996</v>
      </c>
    </row>
    <row r="93" spans="1:3" ht="24.6" x14ac:dyDescent="0.3">
      <c r="A93" s="19" t="s">
        <v>311</v>
      </c>
      <c r="B93" s="27" t="s">
        <v>109</v>
      </c>
      <c r="C93" s="31">
        <v>40550.114000000001</v>
      </c>
    </row>
    <row r="94" spans="1:3" ht="36.6" x14ac:dyDescent="0.3">
      <c r="A94" s="19" t="s">
        <v>312</v>
      </c>
      <c r="B94" s="27" t="s">
        <v>110</v>
      </c>
      <c r="C94" s="31">
        <v>45694.331400000003</v>
      </c>
    </row>
    <row r="95" spans="1:3" ht="24.6" x14ac:dyDescent="0.3">
      <c r="A95" s="19" t="s">
        <v>313</v>
      </c>
      <c r="B95" s="27" t="s">
        <v>111</v>
      </c>
      <c r="C95" s="31">
        <v>61615.049999999996</v>
      </c>
    </row>
    <row r="96" spans="1:3" x14ac:dyDescent="0.3">
      <c r="A96" s="19"/>
      <c r="B96" s="36" t="s">
        <v>112</v>
      </c>
      <c r="C96" s="31"/>
    </row>
    <row r="97" spans="1:3" x14ac:dyDescent="0.3">
      <c r="A97" s="19"/>
      <c r="B97" s="28" t="s">
        <v>113</v>
      </c>
      <c r="C97" s="31"/>
    </row>
    <row r="98" spans="1:3" ht="36.6" x14ac:dyDescent="0.3">
      <c r="A98" s="19" t="s">
        <v>314</v>
      </c>
      <c r="B98" s="27" t="s">
        <v>114</v>
      </c>
      <c r="C98" s="31">
        <v>30204.143199999999</v>
      </c>
    </row>
    <row r="99" spans="1:3" ht="36.6" x14ac:dyDescent="0.3">
      <c r="A99" s="19" t="s">
        <v>315</v>
      </c>
      <c r="B99" s="27" t="s">
        <v>115</v>
      </c>
      <c r="C99" s="31">
        <v>33716.128000000004</v>
      </c>
    </row>
    <row r="100" spans="1:3" ht="24.6" x14ac:dyDescent="0.3">
      <c r="A100" s="19"/>
      <c r="B100" s="36" t="s">
        <v>116</v>
      </c>
      <c r="C100" s="31"/>
    </row>
    <row r="101" spans="1:3" ht="24.6" x14ac:dyDescent="0.3">
      <c r="A101" s="19" t="s">
        <v>316</v>
      </c>
      <c r="B101" s="27" t="s">
        <v>117</v>
      </c>
      <c r="C101" s="31"/>
    </row>
    <row r="102" spans="1:3" x14ac:dyDescent="0.3">
      <c r="A102" s="19"/>
      <c r="B102" s="28" t="s">
        <v>112</v>
      </c>
      <c r="C102" s="31"/>
    </row>
    <row r="103" spans="1:3" x14ac:dyDescent="0.3">
      <c r="A103" s="19" t="s">
        <v>317</v>
      </c>
      <c r="B103" s="20" t="s">
        <v>118</v>
      </c>
      <c r="C103" s="31">
        <v>18323.412</v>
      </c>
    </row>
    <row r="104" spans="1:3" x14ac:dyDescent="0.3">
      <c r="A104" s="19" t="s">
        <v>318</v>
      </c>
      <c r="B104" s="20" t="s">
        <v>119</v>
      </c>
      <c r="C104" s="31">
        <v>5511.8639999999996</v>
      </c>
    </row>
    <row r="105" spans="1:3" x14ac:dyDescent="0.3">
      <c r="A105" s="19" t="s">
        <v>319</v>
      </c>
      <c r="B105" s="20" t="s">
        <v>120</v>
      </c>
      <c r="C105" s="31">
        <v>701.6819999999999</v>
      </c>
    </row>
    <row r="106" spans="1:3" x14ac:dyDescent="0.3">
      <c r="A106" s="19" t="s">
        <v>320</v>
      </c>
      <c r="B106" s="20" t="s">
        <v>121</v>
      </c>
      <c r="C106" s="31">
        <v>1061.6400000000001</v>
      </c>
    </row>
    <row r="107" spans="1:3" ht="24.6" x14ac:dyDescent="0.3">
      <c r="A107" s="19" t="s">
        <v>321</v>
      </c>
      <c r="B107" s="27" t="s">
        <v>122</v>
      </c>
      <c r="C107" s="31"/>
    </row>
    <row r="108" spans="1:3" x14ac:dyDescent="0.3">
      <c r="A108" s="19" t="s">
        <v>322</v>
      </c>
      <c r="B108" s="20" t="s">
        <v>123</v>
      </c>
      <c r="C108" s="31">
        <v>5499.862000000001</v>
      </c>
    </row>
    <row r="109" spans="1:3" x14ac:dyDescent="0.3">
      <c r="A109" s="19" t="s">
        <v>323</v>
      </c>
      <c r="B109" s="20" t="s">
        <v>124</v>
      </c>
      <c r="C109" s="31">
        <v>2607.5350000000003</v>
      </c>
    </row>
    <row r="110" spans="1:3" x14ac:dyDescent="0.3">
      <c r="A110" s="19" t="s">
        <v>324</v>
      </c>
      <c r="B110" s="20" t="s">
        <v>125</v>
      </c>
      <c r="C110" s="31">
        <v>237.44900000000001</v>
      </c>
    </row>
    <row r="111" spans="1:3" x14ac:dyDescent="0.3">
      <c r="A111" s="19" t="s">
        <v>325</v>
      </c>
      <c r="B111" s="20" t="s">
        <v>126</v>
      </c>
      <c r="C111" s="31">
        <v>3573.6625000000004</v>
      </c>
    </row>
    <row r="112" spans="1:3" ht="36.6" x14ac:dyDescent="0.3">
      <c r="A112" s="19" t="s">
        <v>326</v>
      </c>
      <c r="B112" s="27" t="s">
        <v>127</v>
      </c>
      <c r="C112" s="31">
        <v>9616.7735999999986</v>
      </c>
    </row>
    <row r="113" spans="1:3" ht="48.6" x14ac:dyDescent="0.3">
      <c r="A113" s="19" t="s">
        <v>327</v>
      </c>
      <c r="B113" s="27" t="s">
        <v>128</v>
      </c>
      <c r="C113" s="31">
        <v>646.38</v>
      </c>
    </row>
    <row r="114" spans="1:3" x14ac:dyDescent="0.3">
      <c r="A114" s="19"/>
      <c r="B114" s="28" t="s">
        <v>129</v>
      </c>
      <c r="C114" s="31"/>
    </row>
    <row r="115" spans="1:3" ht="48.6" x14ac:dyDescent="0.3">
      <c r="A115" s="19" t="s">
        <v>328</v>
      </c>
      <c r="B115" s="27" t="s">
        <v>130</v>
      </c>
      <c r="C115" s="31">
        <v>54261.414599999996</v>
      </c>
    </row>
    <row r="116" spans="1:3" x14ac:dyDescent="0.3">
      <c r="A116" s="19" t="s">
        <v>329</v>
      </c>
      <c r="B116" s="20" t="s">
        <v>131</v>
      </c>
      <c r="C116" s="31">
        <v>16270.6577</v>
      </c>
    </row>
    <row r="117" spans="1:3" ht="24.6" x14ac:dyDescent="0.3">
      <c r="A117" s="19" t="s">
        <v>330</v>
      </c>
      <c r="B117" s="27" t="s">
        <v>132</v>
      </c>
      <c r="C117" s="31"/>
    </row>
    <row r="118" spans="1:3" x14ac:dyDescent="0.3">
      <c r="A118" s="19"/>
      <c r="B118" s="33" t="s">
        <v>133</v>
      </c>
      <c r="C118" s="34">
        <v>261.67840000000001</v>
      </c>
    </row>
    <row r="119" spans="1:3" ht="24.6" x14ac:dyDescent="0.3">
      <c r="A119" s="19" t="s">
        <v>331</v>
      </c>
      <c r="B119" s="27" t="s">
        <v>134</v>
      </c>
      <c r="C119" s="31"/>
    </row>
    <row r="120" spans="1:3" x14ac:dyDescent="0.3">
      <c r="A120" s="19"/>
      <c r="B120" s="28" t="s">
        <v>135</v>
      </c>
      <c r="C120" s="31"/>
    </row>
    <row r="121" spans="1:3" x14ac:dyDescent="0.3">
      <c r="A121" s="22" t="s">
        <v>148</v>
      </c>
      <c r="B121" s="32" t="s">
        <v>153</v>
      </c>
      <c r="C121" s="24">
        <v>57407.268700000001</v>
      </c>
    </row>
    <row r="122" spans="1:3" ht="36.6" x14ac:dyDescent="0.3">
      <c r="A122" s="19" t="s">
        <v>149</v>
      </c>
      <c r="B122" s="27" t="s">
        <v>138</v>
      </c>
      <c r="C122" s="31">
        <v>52810.593700000005</v>
      </c>
    </row>
    <row r="123" spans="1:3" ht="24.6" x14ac:dyDescent="0.3">
      <c r="A123" s="19" t="s">
        <v>150</v>
      </c>
      <c r="B123" s="27" t="s">
        <v>140</v>
      </c>
      <c r="C123" s="31">
        <v>2356.4476</v>
      </c>
    </row>
    <row r="124" spans="1:3" x14ac:dyDescent="0.3">
      <c r="A124" s="19" t="s">
        <v>332</v>
      </c>
      <c r="B124" s="20" t="s">
        <v>142</v>
      </c>
      <c r="C124" s="31">
        <v>784.23739999999998</v>
      </c>
    </row>
    <row r="125" spans="1:3" x14ac:dyDescent="0.3">
      <c r="A125" s="19" t="s">
        <v>333</v>
      </c>
      <c r="B125" s="20" t="s">
        <v>144</v>
      </c>
      <c r="C125" s="31"/>
    </row>
    <row r="126" spans="1:3" x14ac:dyDescent="0.3">
      <c r="A126" s="19"/>
      <c r="B126" s="28" t="s">
        <v>135</v>
      </c>
      <c r="C126" s="31"/>
    </row>
    <row r="127" spans="1:3" x14ac:dyDescent="0.3">
      <c r="A127" s="19" t="s">
        <v>334</v>
      </c>
      <c r="B127" s="20" t="s">
        <v>105</v>
      </c>
      <c r="C127" s="31"/>
    </row>
    <row r="128" spans="1:3" x14ac:dyDescent="0.3">
      <c r="A128" s="19"/>
      <c r="B128" s="28" t="s">
        <v>135</v>
      </c>
      <c r="C128" s="31"/>
    </row>
    <row r="129" spans="1:3" ht="24.6" x14ac:dyDescent="0.3">
      <c r="A129" s="19" t="s">
        <v>335</v>
      </c>
      <c r="B129" s="27" t="s">
        <v>147</v>
      </c>
      <c r="C129" s="31">
        <v>1455.99</v>
      </c>
    </row>
    <row r="130" spans="1:3" x14ac:dyDescent="0.3">
      <c r="A130" s="22" t="s">
        <v>151</v>
      </c>
      <c r="B130" s="32" t="s">
        <v>154</v>
      </c>
      <c r="C130" s="24">
        <v>7915.2083999999995</v>
      </c>
    </row>
    <row r="131" spans="1:3" ht="36.6" x14ac:dyDescent="0.3">
      <c r="A131" s="19" t="s">
        <v>159</v>
      </c>
      <c r="B131" s="27" t="s">
        <v>155</v>
      </c>
      <c r="C131" s="31">
        <v>7442.6495999999997</v>
      </c>
    </row>
    <row r="132" spans="1:3" ht="36.6" x14ac:dyDescent="0.3">
      <c r="A132" s="19" t="s">
        <v>163</v>
      </c>
      <c r="B132" s="27" t="s">
        <v>156</v>
      </c>
      <c r="C132" s="31">
        <v>472.55880000000002</v>
      </c>
    </row>
    <row r="133" spans="1:3" x14ac:dyDescent="0.3">
      <c r="A133" s="22" t="s">
        <v>336</v>
      </c>
      <c r="B133" s="32" t="s">
        <v>152</v>
      </c>
      <c r="C133" s="24">
        <v>94494.937399999995</v>
      </c>
    </row>
    <row r="134" spans="1:3" x14ac:dyDescent="0.3">
      <c r="A134" s="19"/>
      <c r="B134" s="28" t="s">
        <v>157</v>
      </c>
      <c r="C134" s="31"/>
    </row>
    <row r="135" spans="1:3" ht="36.6" x14ac:dyDescent="0.3">
      <c r="A135" s="19" t="s">
        <v>173</v>
      </c>
      <c r="B135" s="27" t="s">
        <v>158</v>
      </c>
      <c r="C135" s="31"/>
    </row>
    <row r="136" spans="1:3" x14ac:dyDescent="0.3">
      <c r="A136" s="19" t="s">
        <v>174</v>
      </c>
      <c r="B136" s="20" t="s">
        <v>160</v>
      </c>
      <c r="C136" s="31">
        <v>52198.198400000001</v>
      </c>
    </row>
    <row r="137" spans="1:3" x14ac:dyDescent="0.3">
      <c r="A137" s="19" t="s">
        <v>337</v>
      </c>
      <c r="B137" s="20" t="s">
        <v>161</v>
      </c>
      <c r="C137" s="31">
        <v>4480.9128000000001</v>
      </c>
    </row>
    <row r="138" spans="1:3" x14ac:dyDescent="0.3">
      <c r="A138" s="19" t="s">
        <v>338</v>
      </c>
      <c r="B138" s="37" t="s">
        <v>162</v>
      </c>
      <c r="C138" s="31">
        <v>5430.2975999999999</v>
      </c>
    </row>
    <row r="139" spans="1:3" ht="24.6" x14ac:dyDescent="0.3">
      <c r="A139" s="19" t="s">
        <v>176</v>
      </c>
      <c r="B139" s="27" t="s">
        <v>164</v>
      </c>
      <c r="C139" s="31">
        <v>2489.7600000000002</v>
      </c>
    </row>
    <row r="140" spans="1:3" ht="36.6" x14ac:dyDescent="0.3">
      <c r="A140" s="19" t="s">
        <v>180</v>
      </c>
      <c r="B140" s="27" t="s">
        <v>165</v>
      </c>
      <c r="C140" s="31">
        <v>8412.3616000000002</v>
      </c>
    </row>
    <row r="141" spans="1:3" x14ac:dyDescent="0.3">
      <c r="A141" s="19"/>
      <c r="B141" s="28" t="s">
        <v>166</v>
      </c>
      <c r="C141" s="31"/>
    </row>
    <row r="142" spans="1:3" ht="36.6" x14ac:dyDescent="0.3">
      <c r="A142" s="19" t="s">
        <v>182</v>
      </c>
      <c r="B142" s="27" t="s">
        <v>167</v>
      </c>
      <c r="C142" s="31"/>
    </row>
    <row r="143" spans="1:3" x14ac:dyDescent="0.3">
      <c r="A143" s="19" t="s">
        <v>339</v>
      </c>
      <c r="B143" s="20" t="s">
        <v>168</v>
      </c>
      <c r="C143" s="31">
        <v>4914</v>
      </c>
    </row>
    <row r="144" spans="1:3" ht="60.6" x14ac:dyDescent="0.3">
      <c r="A144" s="19" t="s">
        <v>184</v>
      </c>
      <c r="B144" s="27" t="s">
        <v>169</v>
      </c>
      <c r="C144" s="31">
        <v>8084.7070000000003</v>
      </c>
    </row>
    <row r="145" spans="1:3" ht="48.6" x14ac:dyDescent="0.3">
      <c r="A145" s="19" t="s">
        <v>186</v>
      </c>
      <c r="B145" s="27" t="s">
        <v>170</v>
      </c>
      <c r="C145" s="31">
        <v>8484.6999999999989</v>
      </c>
    </row>
    <row r="146" spans="1:3" x14ac:dyDescent="0.3">
      <c r="A146" s="22" t="s">
        <v>194</v>
      </c>
      <c r="B146" s="32" t="s">
        <v>171</v>
      </c>
      <c r="C146" s="24">
        <v>390609.20039999997</v>
      </c>
    </row>
    <row r="147" spans="1:3" ht="36.6" x14ac:dyDescent="0.3">
      <c r="A147" s="19" t="s">
        <v>196</v>
      </c>
      <c r="B147" s="27" t="s">
        <v>172</v>
      </c>
      <c r="C147" s="31"/>
    </row>
    <row r="148" spans="1:3" x14ac:dyDescent="0.3">
      <c r="A148" s="19" t="s">
        <v>340</v>
      </c>
      <c r="B148" s="20" t="s">
        <v>175</v>
      </c>
      <c r="C148" s="31">
        <v>29877.120000000003</v>
      </c>
    </row>
    <row r="149" spans="1:3" ht="24.6" x14ac:dyDescent="0.3">
      <c r="A149" s="19" t="s">
        <v>198</v>
      </c>
      <c r="B149" s="27" t="s">
        <v>177</v>
      </c>
      <c r="C149" s="31"/>
    </row>
    <row r="150" spans="1:3" x14ac:dyDescent="0.3">
      <c r="A150" s="19" t="s">
        <v>340</v>
      </c>
      <c r="B150" s="20" t="s">
        <v>178</v>
      </c>
      <c r="C150" s="31">
        <v>31344.559999999998</v>
      </c>
    </row>
    <row r="151" spans="1:3" x14ac:dyDescent="0.3">
      <c r="A151" s="19" t="s">
        <v>341</v>
      </c>
      <c r="B151" s="20" t="s">
        <v>179</v>
      </c>
      <c r="C151" s="31">
        <v>22053.899999999998</v>
      </c>
    </row>
    <row r="152" spans="1:3" ht="36.6" x14ac:dyDescent="0.3">
      <c r="A152" s="19" t="s">
        <v>342</v>
      </c>
      <c r="B152" s="27" t="s">
        <v>181</v>
      </c>
      <c r="C152" s="31">
        <v>76166.4234</v>
      </c>
    </row>
    <row r="153" spans="1:3" ht="36.6" x14ac:dyDescent="0.3">
      <c r="A153" s="19" t="s">
        <v>343</v>
      </c>
      <c r="B153" s="27" t="s">
        <v>183</v>
      </c>
      <c r="C153" s="31">
        <v>32507.8338</v>
      </c>
    </row>
    <row r="154" spans="1:3" ht="24.6" x14ac:dyDescent="0.3">
      <c r="A154" s="19" t="s">
        <v>344</v>
      </c>
      <c r="B154" s="27" t="s">
        <v>185</v>
      </c>
      <c r="C154" s="31">
        <v>1063.3084000000001</v>
      </c>
    </row>
    <row r="155" spans="1:3" ht="24.6" x14ac:dyDescent="0.3">
      <c r="A155" s="19" t="s">
        <v>345</v>
      </c>
      <c r="B155" s="27" t="s">
        <v>187</v>
      </c>
      <c r="C155" s="31">
        <v>3970.9140000000002</v>
      </c>
    </row>
    <row r="156" spans="1:3" ht="36.6" x14ac:dyDescent="0.3">
      <c r="A156" s="19" t="s">
        <v>346</v>
      </c>
      <c r="B156" s="27" t="s">
        <v>188</v>
      </c>
      <c r="C156" s="31"/>
    </row>
    <row r="157" spans="1:3" x14ac:dyDescent="0.3">
      <c r="A157" s="19" t="s">
        <v>347</v>
      </c>
      <c r="B157" s="20" t="s">
        <v>189</v>
      </c>
      <c r="C157" s="31">
        <v>106971.12</v>
      </c>
    </row>
    <row r="158" spans="1:3" ht="36.6" x14ac:dyDescent="0.3">
      <c r="A158" s="19" t="s">
        <v>348</v>
      </c>
      <c r="B158" s="27" t="s">
        <v>190</v>
      </c>
      <c r="C158" s="31">
        <v>24730.817999999999</v>
      </c>
    </row>
    <row r="159" spans="1:3" ht="24.6" x14ac:dyDescent="0.3">
      <c r="A159" s="19" t="s">
        <v>349</v>
      </c>
      <c r="B159" s="27" t="s">
        <v>191</v>
      </c>
      <c r="C159" s="31">
        <v>16988.604000000003</v>
      </c>
    </row>
    <row r="160" spans="1:3" ht="24.6" x14ac:dyDescent="0.3">
      <c r="A160" s="19" t="s">
        <v>350</v>
      </c>
      <c r="B160" s="27" t="s">
        <v>192</v>
      </c>
      <c r="C160" s="31">
        <v>28619.135999999999</v>
      </c>
    </row>
    <row r="161" spans="1:3" ht="24.6" x14ac:dyDescent="0.3">
      <c r="A161" s="19" t="s">
        <v>351</v>
      </c>
      <c r="B161" s="27" t="s">
        <v>193</v>
      </c>
      <c r="C161" s="31">
        <v>16315.462800000001</v>
      </c>
    </row>
    <row r="162" spans="1:3" x14ac:dyDescent="0.3">
      <c r="A162" s="22" t="s">
        <v>213</v>
      </c>
      <c r="B162" s="32" t="s">
        <v>195</v>
      </c>
      <c r="C162" s="24">
        <v>61947.1</v>
      </c>
    </row>
    <row r="163" spans="1:3" ht="36.6" x14ac:dyDescent="0.3">
      <c r="A163" s="19" t="s">
        <v>215</v>
      </c>
      <c r="B163" s="27" t="s">
        <v>197</v>
      </c>
      <c r="C163" s="31"/>
    </row>
    <row r="164" spans="1:3" x14ac:dyDescent="0.3">
      <c r="A164" s="19" t="s">
        <v>352</v>
      </c>
      <c r="B164" s="37" t="s">
        <v>199</v>
      </c>
      <c r="C164" s="31">
        <v>6763.7699999999995</v>
      </c>
    </row>
    <row r="165" spans="1:3" x14ac:dyDescent="0.3">
      <c r="A165" s="19" t="s">
        <v>353</v>
      </c>
      <c r="B165" s="37" t="s">
        <v>200</v>
      </c>
      <c r="C165" s="31">
        <v>10253.280000000001</v>
      </c>
    </row>
    <row r="166" spans="1:3" x14ac:dyDescent="0.3">
      <c r="A166" s="19" t="s">
        <v>354</v>
      </c>
      <c r="B166" s="37" t="s">
        <v>201</v>
      </c>
      <c r="C166" s="31"/>
    </row>
    <row r="167" spans="1:3" x14ac:dyDescent="0.3">
      <c r="A167" s="19" t="s">
        <v>355</v>
      </c>
      <c r="B167" s="37" t="s">
        <v>202</v>
      </c>
      <c r="C167" s="31">
        <v>904.18</v>
      </c>
    </row>
    <row r="168" spans="1:3" x14ac:dyDescent="0.3">
      <c r="A168" s="19" t="s">
        <v>356</v>
      </c>
      <c r="B168" s="37" t="s">
        <v>203</v>
      </c>
      <c r="C168" s="31">
        <v>562.16</v>
      </c>
    </row>
    <row r="169" spans="1:3" x14ac:dyDescent="0.3">
      <c r="A169" s="19" t="s">
        <v>357</v>
      </c>
      <c r="B169" s="37" t="s">
        <v>204</v>
      </c>
      <c r="C169" s="31">
        <v>1192.46</v>
      </c>
    </row>
    <row r="170" spans="1:3" x14ac:dyDescent="0.3">
      <c r="A170" s="19" t="s">
        <v>358</v>
      </c>
      <c r="B170" s="37" t="s">
        <v>205</v>
      </c>
      <c r="C170" s="31">
        <v>9841.9500000000007</v>
      </c>
    </row>
    <row r="171" spans="1:3" x14ac:dyDescent="0.3">
      <c r="A171" s="19" t="s">
        <v>359</v>
      </c>
      <c r="B171" s="37" t="s">
        <v>206</v>
      </c>
      <c r="C171" s="31">
        <v>10653.6</v>
      </c>
    </row>
    <row r="172" spans="1:3" x14ac:dyDescent="0.3">
      <c r="A172" s="19" t="s">
        <v>360</v>
      </c>
      <c r="B172" s="37" t="s">
        <v>207</v>
      </c>
      <c r="C172" s="31">
        <v>2149.2200000000003</v>
      </c>
    </row>
    <row r="173" spans="1:3" x14ac:dyDescent="0.3">
      <c r="A173" s="19" t="s">
        <v>361</v>
      </c>
      <c r="B173" s="37" t="s">
        <v>208</v>
      </c>
      <c r="C173" s="31">
        <v>149.6</v>
      </c>
    </row>
    <row r="174" spans="1:3" x14ac:dyDescent="0.3">
      <c r="A174" s="19" t="s">
        <v>362</v>
      </c>
      <c r="B174" s="37" t="s">
        <v>209</v>
      </c>
      <c r="C174" s="31">
        <v>959.2</v>
      </c>
    </row>
    <row r="175" spans="1:3" x14ac:dyDescent="0.3">
      <c r="A175" s="19" t="s">
        <v>363</v>
      </c>
      <c r="B175" s="8" t="s">
        <v>210</v>
      </c>
      <c r="C175" s="31">
        <v>2000.3899999999999</v>
      </c>
    </row>
    <row r="176" spans="1:3" x14ac:dyDescent="0.3">
      <c r="A176" s="19" t="s">
        <v>364</v>
      </c>
      <c r="B176" s="8" t="s">
        <v>211</v>
      </c>
      <c r="C176" s="31">
        <v>1084.04</v>
      </c>
    </row>
    <row r="177" spans="1:3" ht="24.6" x14ac:dyDescent="0.3">
      <c r="A177" s="19" t="s">
        <v>217</v>
      </c>
      <c r="B177" s="38" t="s">
        <v>212</v>
      </c>
      <c r="C177" s="31">
        <v>15433.25</v>
      </c>
    </row>
    <row r="178" spans="1:3" x14ac:dyDescent="0.3">
      <c r="A178" s="22" t="s">
        <v>218</v>
      </c>
      <c r="B178" s="32" t="s">
        <v>214</v>
      </c>
      <c r="C178" s="24">
        <v>175685.88</v>
      </c>
    </row>
    <row r="179" spans="1:3" ht="24.6" x14ac:dyDescent="0.3">
      <c r="A179" s="19" t="s">
        <v>220</v>
      </c>
      <c r="B179" s="6" t="s">
        <v>216</v>
      </c>
      <c r="C179" s="31">
        <v>27518.43</v>
      </c>
    </row>
    <row r="180" spans="1:3" ht="24.6" x14ac:dyDescent="0.3">
      <c r="A180" s="19" t="s">
        <v>365</v>
      </c>
      <c r="B180" s="6" t="s">
        <v>234</v>
      </c>
      <c r="C180" s="31">
        <v>20717.84</v>
      </c>
    </row>
    <row r="181" spans="1:3" ht="24.6" x14ac:dyDescent="0.3">
      <c r="A181" s="19" t="s">
        <v>366</v>
      </c>
      <c r="B181" s="6" t="s">
        <v>235</v>
      </c>
      <c r="C181" s="31"/>
    </row>
    <row r="182" spans="1:3" x14ac:dyDescent="0.3">
      <c r="A182" s="19" t="s">
        <v>367</v>
      </c>
      <c r="B182" s="39" t="s">
        <v>236</v>
      </c>
      <c r="C182" s="31">
        <v>10299.84</v>
      </c>
    </row>
    <row r="183" spans="1:3" x14ac:dyDescent="0.3">
      <c r="A183" s="19" t="s">
        <v>368</v>
      </c>
      <c r="B183" s="6" t="s">
        <v>237</v>
      </c>
      <c r="C183" s="31">
        <v>5959.68</v>
      </c>
    </row>
    <row r="184" spans="1:3" x14ac:dyDescent="0.3">
      <c r="A184" s="19" t="s">
        <v>369</v>
      </c>
      <c r="B184" s="39" t="s">
        <v>238</v>
      </c>
      <c r="C184" s="31">
        <v>15520.32</v>
      </c>
    </row>
    <row r="185" spans="1:3" x14ac:dyDescent="0.3">
      <c r="A185" s="19" t="s">
        <v>370</v>
      </c>
      <c r="B185" s="6" t="s">
        <v>239</v>
      </c>
      <c r="C185" s="31">
        <v>9041.76</v>
      </c>
    </row>
    <row r="186" spans="1:3" ht="24.6" x14ac:dyDescent="0.3">
      <c r="A186" s="19" t="s">
        <v>371</v>
      </c>
      <c r="B186" s="38" t="s">
        <v>240</v>
      </c>
      <c r="C186" s="31">
        <v>30396</v>
      </c>
    </row>
    <row r="187" spans="1:3" x14ac:dyDescent="0.3">
      <c r="A187" s="19" t="s">
        <v>372</v>
      </c>
      <c r="B187" s="38" t="s">
        <v>241</v>
      </c>
      <c r="C187" s="31">
        <v>15960.72</v>
      </c>
    </row>
    <row r="188" spans="1:3" x14ac:dyDescent="0.3">
      <c r="A188" s="19" t="s">
        <v>373</v>
      </c>
      <c r="B188" s="38" t="s">
        <v>242</v>
      </c>
      <c r="C188" s="31">
        <v>22974</v>
      </c>
    </row>
    <row r="189" spans="1:3" x14ac:dyDescent="0.3">
      <c r="A189" s="19"/>
      <c r="B189" s="39"/>
      <c r="C189" s="31"/>
    </row>
    <row r="190" spans="1:3" ht="36.6" x14ac:dyDescent="0.3">
      <c r="A190" s="19" t="s">
        <v>374</v>
      </c>
      <c r="B190" s="38" t="s">
        <v>243</v>
      </c>
      <c r="C190" s="31">
        <v>12579.85</v>
      </c>
    </row>
    <row r="191" spans="1:3" x14ac:dyDescent="0.3">
      <c r="A191" s="19" t="s">
        <v>375</v>
      </c>
      <c r="B191" s="38" t="s">
        <v>244</v>
      </c>
      <c r="C191" s="31">
        <v>4717.4399999999996</v>
      </c>
    </row>
    <row r="192" spans="1:3" x14ac:dyDescent="0.3">
      <c r="A192" s="22" t="s">
        <v>222</v>
      </c>
      <c r="B192" s="32" t="s">
        <v>219</v>
      </c>
      <c r="C192" s="24">
        <v>234000</v>
      </c>
    </row>
    <row r="193" spans="1:3" ht="24.6" x14ac:dyDescent="0.3">
      <c r="A193" s="19" t="s">
        <v>224</v>
      </c>
      <c r="B193" s="6" t="s">
        <v>221</v>
      </c>
      <c r="C193" s="31">
        <v>234000</v>
      </c>
    </row>
    <row r="194" spans="1:3" x14ac:dyDescent="0.3">
      <c r="A194" s="22" t="s">
        <v>225</v>
      </c>
      <c r="B194" s="32" t="s">
        <v>223</v>
      </c>
      <c r="C194" s="24">
        <v>221116.34000000003</v>
      </c>
    </row>
    <row r="195" spans="1:3" ht="24.6" x14ac:dyDescent="0.3">
      <c r="A195" s="19" t="s">
        <v>245</v>
      </c>
      <c r="B195" s="6" t="s">
        <v>227</v>
      </c>
      <c r="C195" s="31"/>
    </row>
    <row r="196" spans="1:3" x14ac:dyDescent="0.3">
      <c r="A196" s="19" t="s">
        <v>376</v>
      </c>
      <c r="B196" s="6" t="s">
        <v>20</v>
      </c>
      <c r="C196" s="31">
        <v>49140.05</v>
      </c>
    </row>
    <row r="197" spans="1:3" x14ac:dyDescent="0.3">
      <c r="A197" s="19" t="s">
        <v>377</v>
      </c>
      <c r="B197" s="8" t="s">
        <v>228</v>
      </c>
      <c r="C197" s="31">
        <v>16380.02</v>
      </c>
    </row>
    <row r="198" spans="1:3" ht="24.6" x14ac:dyDescent="0.3">
      <c r="A198" s="19" t="s">
        <v>378</v>
      </c>
      <c r="B198" s="6" t="s">
        <v>229</v>
      </c>
      <c r="C198" s="31">
        <v>95921.38</v>
      </c>
    </row>
    <row r="199" spans="1:3" x14ac:dyDescent="0.3">
      <c r="A199" s="19" t="s">
        <v>379</v>
      </c>
      <c r="B199" s="6" t="s">
        <v>230</v>
      </c>
      <c r="C199" s="31">
        <v>47174.45</v>
      </c>
    </row>
    <row r="200" spans="1:3" ht="24.6" x14ac:dyDescent="0.3">
      <c r="A200" s="19" t="s">
        <v>380</v>
      </c>
      <c r="B200" s="6" t="s">
        <v>231</v>
      </c>
      <c r="C200" s="31">
        <v>7272.73</v>
      </c>
    </row>
    <row r="201" spans="1:3" ht="24.6" x14ac:dyDescent="0.3">
      <c r="A201" s="19" t="s">
        <v>381</v>
      </c>
      <c r="B201" s="6" t="s">
        <v>232</v>
      </c>
      <c r="C201" s="31">
        <v>5227.71</v>
      </c>
    </row>
    <row r="202" spans="1:3" x14ac:dyDescent="0.3">
      <c r="A202" s="19"/>
      <c r="B202" s="40" t="s">
        <v>233</v>
      </c>
      <c r="C202" s="31"/>
    </row>
    <row r="203" spans="1:3" x14ac:dyDescent="0.3">
      <c r="A203" s="22" t="s">
        <v>246</v>
      </c>
      <c r="B203" s="32" t="s">
        <v>226</v>
      </c>
      <c r="C203" s="24">
        <v>215292.48</v>
      </c>
    </row>
    <row r="204" spans="1:3" ht="36.6" x14ac:dyDescent="0.3">
      <c r="A204" s="19" t="s">
        <v>247</v>
      </c>
      <c r="B204" s="6" t="s">
        <v>252</v>
      </c>
      <c r="C204" s="31">
        <v>20652</v>
      </c>
    </row>
    <row r="205" spans="1:3" ht="36.6" x14ac:dyDescent="0.3">
      <c r="A205" s="19" t="s">
        <v>248</v>
      </c>
      <c r="B205" s="6" t="s">
        <v>253</v>
      </c>
      <c r="C205" s="31">
        <v>194640.48</v>
      </c>
    </row>
    <row r="206" spans="1:3" x14ac:dyDescent="0.3">
      <c r="A206" s="22" t="s">
        <v>249</v>
      </c>
      <c r="B206" s="32" t="s">
        <v>250</v>
      </c>
      <c r="C206" s="24">
        <v>14995.880000000001</v>
      </c>
    </row>
    <row r="207" spans="1:3" ht="24.6" x14ac:dyDescent="0.3">
      <c r="A207" s="19" t="s">
        <v>258</v>
      </c>
      <c r="B207" s="6" t="s">
        <v>254</v>
      </c>
      <c r="C207" s="31">
        <v>6250.59</v>
      </c>
    </row>
    <row r="208" spans="1:3" ht="24.6" x14ac:dyDescent="0.3">
      <c r="A208" s="19" t="s">
        <v>259</v>
      </c>
      <c r="B208" s="6" t="s">
        <v>255</v>
      </c>
      <c r="C208" s="31">
        <v>8745.2900000000009</v>
      </c>
    </row>
    <row r="209" spans="1:3" x14ac:dyDescent="0.3">
      <c r="A209" s="22" t="s">
        <v>382</v>
      </c>
      <c r="B209" s="32" t="s">
        <v>251</v>
      </c>
      <c r="C209" s="24">
        <v>12341.850200000001</v>
      </c>
    </row>
    <row r="210" spans="1:3" x14ac:dyDescent="0.3">
      <c r="A210" s="19"/>
      <c r="B210" s="40" t="s">
        <v>256</v>
      </c>
      <c r="C210" s="31"/>
    </row>
    <row r="211" spans="1:3" x14ac:dyDescent="0.3">
      <c r="A211" s="19"/>
      <c r="B211" s="41" t="s">
        <v>257</v>
      </c>
      <c r="C211" s="31"/>
    </row>
    <row r="212" spans="1:3" ht="36.6" x14ac:dyDescent="0.3">
      <c r="A212" s="19" t="s">
        <v>383</v>
      </c>
      <c r="B212" s="38" t="s">
        <v>260</v>
      </c>
      <c r="C212" s="31">
        <v>376.97840000000002</v>
      </c>
    </row>
    <row r="213" spans="1:3" ht="24.6" x14ac:dyDescent="0.3">
      <c r="A213" s="19" t="s">
        <v>384</v>
      </c>
      <c r="B213" s="6" t="s">
        <v>261</v>
      </c>
      <c r="C213" s="31">
        <v>8041.18</v>
      </c>
    </row>
    <row r="214" spans="1:3" ht="24.6" x14ac:dyDescent="0.3">
      <c r="A214" s="19" t="s">
        <v>385</v>
      </c>
      <c r="B214" s="6" t="s">
        <v>262</v>
      </c>
      <c r="C214" s="31">
        <v>1234.3699999999999</v>
      </c>
    </row>
    <row r="215" spans="1:3" x14ac:dyDescent="0.3">
      <c r="A215" s="19" t="s">
        <v>386</v>
      </c>
      <c r="B215" s="8" t="s">
        <v>263</v>
      </c>
      <c r="C215" s="31">
        <v>1175.8574000000001</v>
      </c>
    </row>
    <row r="216" spans="1:3" x14ac:dyDescent="0.3">
      <c r="A216" s="19"/>
      <c r="B216" s="41"/>
      <c r="C216" s="31"/>
    </row>
    <row r="217" spans="1:3" x14ac:dyDescent="0.3">
      <c r="A217" s="19" t="s">
        <v>387</v>
      </c>
      <c r="B217" s="8" t="s">
        <v>264</v>
      </c>
      <c r="C217" s="31">
        <v>1513.4643999999998</v>
      </c>
    </row>
    <row r="218" spans="1:3" x14ac:dyDescent="0.3">
      <c r="A218" s="22"/>
      <c r="B218" s="42" t="s">
        <v>265</v>
      </c>
      <c r="C218" s="43">
        <v>3000000.0011999998</v>
      </c>
    </row>
    <row r="219" spans="1:3" x14ac:dyDescent="0.3">
      <c r="A219" s="44"/>
      <c r="B219" s="45"/>
      <c r="C219" s="46"/>
    </row>
    <row r="220" spans="1:3" x14ac:dyDescent="0.3">
      <c r="A220" s="44"/>
      <c r="B220" s="45"/>
      <c r="C220" s="46"/>
    </row>
    <row r="221" spans="1:3" x14ac:dyDescent="0.3">
      <c r="A221" s="19"/>
      <c r="B221" s="39" t="s">
        <v>266</v>
      </c>
      <c r="C221" s="31"/>
    </row>
    <row r="222" spans="1:3" ht="75" customHeight="1" x14ac:dyDescent="0.3">
      <c r="A222" s="19"/>
      <c r="B222" s="50" t="s">
        <v>267</v>
      </c>
      <c r="C222" s="51"/>
    </row>
    <row r="223" spans="1:3" x14ac:dyDescent="0.3">
      <c r="A223" s="19"/>
      <c r="B223" s="39"/>
      <c r="C223" s="31"/>
    </row>
    <row r="224" spans="1:3" ht="60" customHeight="1" x14ac:dyDescent="0.3">
      <c r="A224" s="19"/>
      <c r="B224" s="52" t="s">
        <v>268</v>
      </c>
      <c r="C224" s="53"/>
    </row>
    <row r="225" spans="1:3" x14ac:dyDescent="0.3">
      <c r="A225" s="19"/>
      <c r="B225" s="38"/>
      <c r="C225" s="31"/>
    </row>
    <row r="226" spans="1:3" ht="45" customHeight="1" x14ac:dyDescent="0.3">
      <c r="A226" s="19"/>
      <c r="B226" s="52" t="s">
        <v>269</v>
      </c>
      <c r="C226" s="53"/>
    </row>
    <row r="227" spans="1:3" x14ac:dyDescent="0.3">
      <c r="A227" s="19"/>
      <c r="B227" s="38"/>
      <c r="C227" s="31"/>
    </row>
    <row r="228" spans="1:3" ht="75" customHeight="1" x14ac:dyDescent="0.3">
      <c r="A228" s="19"/>
      <c r="B228" s="50" t="s">
        <v>270</v>
      </c>
      <c r="C228" s="51"/>
    </row>
    <row r="229" spans="1:3" x14ac:dyDescent="0.3">
      <c r="A229" s="19"/>
      <c r="B229" s="38"/>
      <c r="C229" s="31"/>
    </row>
    <row r="230" spans="1:3" ht="60" customHeight="1" x14ac:dyDescent="0.3">
      <c r="A230" s="19"/>
      <c r="B230" s="50" t="s">
        <v>271</v>
      </c>
      <c r="C230" s="51"/>
    </row>
    <row r="231" spans="1:3" x14ac:dyDescent="0.3">
      <c r="A231" s="19"/>
      <c r="B231" s="38"/>
      <c r="C231" s="31"/>
    </row>
    <row r="232" spans="1:3" ht="90" customHeight="1" x14ac:dyDescent="0.3">
      <c r="A232" s="19"/>
      <c r="B232" s="50" t="s">
        <v>272</v>
      </c>
      <c r="C232" s="51"/>
    </row>
    <row r="233" spans="1:3" x14ac:dyDescent="0.3">
      <c r="A233" s="19"/>
      <c r="B233" s="6"/>
      <c r="C233" s="31"/>
    </row>
    <row r="234" spans="1:3" ht="75" customHeight="1" x14ac:dyDescent="0.3">
      <c r="A234" s="19"/>
      <c r="B234" s="50" t="s">
        <v>273</v>
      </c>
      <c r="C234" s="51"/>
    </row>
    <row r="235" spans="1:3" x14ac:dyDescent="0.3">
      <c r="A235" s="19"/>
      <c r="B235" s="6"/>
      <c r="C235" s="31"/>
    </row>
    <row r="236" spans="1:3" ht="45" customHeight="1" x14ac:dyDescent="0.3">
      <c r="A236" s="19"/>
      <c r="B236" s="50" t="s">
        <v>274</v>
      </c>
      <c r="C236" s="51"/>
    </row>
    <row r="237" spans="1:3" x14ac:dyDescent="0.3">
      <c r="A237" s="19"/>
      <c r="B237" s="6"/>
      <c r="C237" s="31"/>
    </row>
    <row r="238" spans="1:3" ht="75" customHeight="1" x14ac:dyDescent="0.3">
      <c r="A238" s="19"/>
      <c r="B238" s="50" t="s">
        <v>275</v>
      </c>
      <c r="C238" s="51"/>
    </row>
    <row r="239" spans="1:3" x14ac:dyDescent="0.3">
      <c r="A239" s="19"/>
      <c r="B239" s="6"/>
      <c r="C239" s="31"/>
    </row>
    <row r="240" spans="1:3" ht="30" customHeight="1" x14ac:dyDescent="0.3">
      <c r="A240" s="19"/>
      <c r="B240" s="50" t="s">
        <v>276</v>
      </c>
      <c r="C240" s="51"/>
    </row>
    <row r="241" spans="1:3" x14ac:dyDescent="0.3">
      <c r="A241" s="19"/>
      <c r="B241" s="6"/>
      <c r="C241" s="31"/>
    </row>
    <row r="242" spans="1:3" ht="45" customHeight="1" x14ac:dyDescent="0.3">
      <c r="A242" s="19"/>
      <c r="B242" s="50" t="s">
        <v>277</v>
      </c>
      <c r="C242" s="51"/>
    </row>
    <row r="243" spans="1:3" x14ac:dyDescent="0.3">
      <c r="A243" s="19"/>
      <c r="B243" s="6"/>
      <c r="C243" s="31"/>
    </row>
    <row r="244" spans="1:3" ht="30" customHeight="1" x14ac:dyDescent="0.3">
      <c r="A244" s="19"/>
      <c r="B244" s="50" t="s">
        <v>278</v>
      </c>
      <c r="C244" s="51"/>
    </row>
    <row r="245" spans="1:3" ht="15" thickBot="1" x14ac:dyDescent="0.35">
      <c r="A245" s="47"/>
      <c r="B245" s="48"/>
      <c r="C245" s="49"/>
    </row>
  </sheetData>
  <mergeCells count="1">
    <mergeCell ref="A2:C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1B1E-ECA4-48A7-9A9B-DE721D62CE0C}">
  <dimension ref="A1:I56"/>
  <sheetViews>
    <sheetView tabSelected="1" topLeftCell="B1" zoomScale="115" zoomScaleNormal="115" workbookViewId="0">
      <selection activeCell="E47" sqref="E47"/>
    </sheetView>
  </sheetViews>
  <sheetFormatPr defaultRowHeight="14.4" x14ac:dyDescent="0.3"/>
  <cols>
    <col min="1" max="1" width="20.6640625" bestFit="1" customWidth="1"/>
    <col min="2" max="2" width="12.6640625" style="56" customWidth="1"/>
    <col min="3" max="3" width="55.6640625" customWidth="1"/>
    <col min="4" max="4" width="13.5546875" customWidth="1"/>
    <col min="5" max="6" width="14.6640625" customWidth="1"/>
    <col min="7" max="7" width="10.33203125" customWidth="1"/>
    <col min="8" max="8" width="40.5546875" style="61" customWidth="1"/>
    <col min="9" max="9" width="28.6640625" customWidth="1"/>
    <col min="10" max="10" width="14.6640625" customWidth="1"/>
  </cols>
  <sheetData>
    <row r="1" spans="1:9" ht="31.95" customHeight="1" x14ac:dyDescent="0.3">
      <c r="A1" s="59" t="s">
        <v>390</v>
      </c>
      <c r="B1" s="59" t="s">
        <v>1</v>
      </c>
      <c r="C1" s="59" t="s">
        <v>431</v>
      </c>
      <c r="D1" s="59" t="s">
        <v>391</v>
      </c>
      <c r="E1" s="59" t="s">
        <v>424</v>
      </c>
      <c r="F1" s="60" t="s">
        <v>432</v>
      </c>
      <c r="G1" s="60" t="s">
        <v>474</v>
      </c>
      <c r="H1" s="59" t="s">
        <v>446</v>
      </c>
      <c r="I1" s="59" t="s">
        <v>389</v>
      </c>
    </row>
    <row r="2" spans="1:9" x14ac:dyDescent="0.3">
      <c r="A2" s="61" t="s">
        <v>739</v>
      </c>
      <c r="B2" s="62">
        <v>46267</v>
      </c>
      <c r="C2" s="61" t="s">
        <v>740</v>
      </c>
      <c r="D2" s="63">
        <v>88.56</v>
      </c>
      <c r="E2" s="64"/>
      <c r="F2" s="64"/>
      <c r="G2" s="64" t="s">
        <v>475</v>
      </c>
      <c r="H2" s="65"/>
      <c r="I2" s="90"/>
    </row>
    <row r="3" spans="1:9" x14ac:dyDescent="0.3">
      <c r="A3" s="61" t="s">
        <v>496</v>
      </c>
      <c r="B3" s="62">
        <v>46255</v>
      </c>
      <c r="C3" s="61" t="s">
        <v>497</v>
      </c>
      <c r="D3" s="64">
        <v>27.5</v>
      </c>
      <c r="E3" s="64" t="s">
        <v>491</v>
      </c>
      <c r="F3" s="64" t="s">
        <v>429</v>
      </c>
      <c r="G3" s="64" t="s">
        <v>475</v>
      </c>
      <c r="H3" s="65" t="s">
        <v>508</v>
      </c>
      <c r="I3" s="77"/>
    </row>
    <row r="4" spans="1:9" x14ac:dyDescent="0.3">
      <c r="A4" s="61" t="s">
        <v>494</v>
      </c>
      <c r="B4" s="62">
        <v>46254</v>
      </c>
      <c r="C4" s="61" t="s">
        <v>495</v>
      </c>
      <c r="D4" s="63">
        <v>276.75</v>
      </c>
      <c r="E4" s="64" t="s">
        <v>491</v>
      </c>
      <c r="F4" s="64" t="s">
        <v>429</v>
      </c>
      <c r="G4" s="64"/>
      <c r="H4" s="65"/>
      <c r="I4" s="77"/>
    </row>
    <row r="5" spans="1:9" ht="28.8" x14ac:dyDescent="0.3">
      <c r="A5" s="61" t="s">
        <v>502</v>
      </c>
      <c r="B5" s="62">
        <v>46252</v>
      </c>
      <c r="C5" s="61" t="s">
        <v>503</v>
      </c>
      <c r="D5" s="64">
        <v>801.2</v>
      </c>
      <c r="E5" s="64" t="s">
        <v>491</v>
      </c>
      <c r="F5" s="64"/>
      <c r="G5" s="64" t="s">
        <v>475</v>
      </c>
      <c r="H5" s="65" t="s">
        <v>504</v>
      </c>
      <c r="I5" s="77"/>
    </row>
    <row r="6" spans="1:9" x14ac:dyDescent="0.3">
      <c r="A6" s="61" t="s">
        <v>498</v>
      </c>
      <c r="B6" s="62">
        <v>46251</v>
      </c>
      <c r="C6" s="61" t="s">
        <v>499</v>
      </c>
      <c r="D6" s="64">
        <v>84.4</v>
      </c>
      <c r="E6" s="64" t="s">
        <v>491</v>
      </c>
      <c r="F6" s="64" t="s">
        <v>429</v>
      </c>
      <c r="G6" s="67" t="s">
        <v>475</v>
      </c>
      <c r="H6" s="65"/>
      <c r="I6" s="77"/>
    </row>
    <row r="7" spans="1:9" x14ac:dyDescent="0.3">
      <c r="A7" s="61" t="s">
        <v>500</v>
      </c>
      <c r="B7" s="62">
        <v>46251</v>
      </c>
      <c r="C7" s="61" t="s">
        <v>501</v>
      </c>
      <c r="D7" s="64">
        <v>9.75</v>
      </c>
      <c r="E7" s="64" t="s">
        <v>491</v>
      </c>
      <c r="F7" s="64" t="s">
        <v>429</v>
      </c>
      <c r="G7" s="67" t="s">
        <v>475</v>
      </c>
      <c r="H7" s="65"/>
      <c r="I7" s="77"/>
    </row>
    <row r="8" spans="1:9" x14ac:dyDescent="0.3">
      <c r="A8" s="61" t="s">
        <v>505</v>
      </c>
      <c r="B8" s="62">
        <v>46248</v>
      </c>
      <c r="C8" s="61" t="s">
        <v>506</v>
      </c>
      <c r="D8" s="64">
        <v>2432.96</v>
      </c>
      <c r="E8" s="64"/>
      <c r="F8" s="64"/>
      <c r="G8" s="64" t="s">
        <v>475</v>
      </c>
      <c r="H8" s="65"/>
      <c r="I8" s="90"/>
    </row>
    <row r="9" spans="1:9" x14ac:dyDescent="0.3">
      <c r="A9" s="61" t="s">
        <v>472</v>
      </c>
      <c r="B9" s="62">
        <v>46244</v>
      </c>
      <c r="C9" s="61" t="s">
        <v>430</v>
      </c>
      <c r="D9" s="63">
        <v>5.5</v>
      </c>
      <c r="E9" s="64" t="s">
        <v>491</v>
      </c>
      <c r="F9" s="64" t="s">
        <v>429</v>
      </c>
      <c r="G9" s="64"/>
      <c r="H9" s="65"/>
      <c r="I9" s="77"/>
    </row>
    <row r="10" spans="1:9" ht="86.4" x14ac:dyDescent="0.3">
      <c r="A10" s="61" t="s">
        <v>471</v>
      </c>
      <c r="B10" s="62">
        <v>46244</v>
      </c>
      <c r="C10" s="66" t="s">
        <v>470</v>
      </c>
      <c r="D10" s="63">
        <v>675.49</v>
      </c>
      <c r="E10" s="64" t="s">
        <v>491</v>
      </c>
      <c r="F10" s="64" t="s">
        <v>429</v>
      </c>
      <c r="G10" s="64"/>
      <c r="H10" s="65"/>
      <c r="I10" s="77"/>
    </row>
    <row r="11" spans="1:9" x14ac:dyDescent="0.3">
      <c r="A11" s="61" t="s">
        <v>488</v>
      </c>
      <c r="B11" s="62">
        <v>46244</v>
      </c>
      <c r="C11" s="61" t="s">
        <v>489</v>
      </c>
      <c r="D11" s="63">
        <v>1309.6400000000001</v>
      </c>
      <c r="E11" s="64"/>
      <c r="F11" s="64"/>
      <c r="G11" s="64" t="s">
        <v>475</v>
      </c>
      <c r="H11" s="65"/>
      <c r="I11" s="77"/>
    </row>
    <row r="12" spans="1:9" x14ac:dyDescent="0.3">
      <c r="A12" s="61" t="s">
        <v>476</v>
      </c>
      <c r="B12" s="62">
        <v>46242</v>
      </c>
      <c r="C12" s="61" t="s">
        <v>469</v>
      </c>
      <c r="D12" s="63">
        <v>31.49</v>
      </c>
      <c r="E12" s="64" t="s">
        <v>491</v>
      </c>
      <c r="F12" s="64" t="s">
        <v>429</v>
      </c>
      <c r="G12" s="64"/>
      <c r="H12" s="65"/>
      <c r="I12" s="77"/>
    </row>
    <row r="13" spans="1:9" ht="43.2" x14ac:dyDescent="0.3">
      <c r="A13" s="61" t="s">
        <v>478</v>
      </c>
      <c r="B13" s="62">
        <v>46241</v>
      </c>
      <c r="C13" s="61" t="s">
        <v>426</v>
      </c>
      <c r="D13" s="63">
        <v>4</v>
      </c>
      <c r="E13" s="64" t="s">
        <v>491</v>
      </c>
      <c r="F13" s="64" t="s">
        <v>425</v>
      </c>
      <c r="G13" s="64" t="s">
        <v>475</v>
      </c>
      <c r="H13" s="65" t="s">
        <v>479</v>
      </c>
      <c r="I13" s="77"/>
    </row>
    <row r="14" spans="1:9" x14ac:dyDescent="0.3">
      <c r="A14" s="61" t="s">
        <v>466</v>
      </c>
      <c r="B14" s="62">
        <v>46241</v>
      </c>
      <c r="C14" s="61" t="s">
        <v>467</v>
      </c>
      <c r="D14" s="63">
        <v>276.75</v>
      </c>
      <c r="E14" s="64" t="s">
        <v>491</v>
      </c>
      <c r="F14" s="64" t="s">
        <v>429</v>
      </c>
      <c r="G14" s="64" t="s">
        <v>475</v>
      </c>
      <c r="H14" s="65" t="s">
        <v>468</v>
      </c>
      <c r="I14" s="77"/>
    </row>
    <row r="15" spans="1:9" x14ac:dyDescent="0.3">
      <c r="A15" s="61" t="s">
        <v>407</v>
      </c>
      <c r="B15" s="62">
        <v>46239</v>
      </c>
      <c r="C15" s="61" t="s">
        <v>421</v>
      </c>
      <c r="D15" s="63">
        <v>370.93</v>
      </c>
      <c r="E15" s="64" t="s">
        <v>491</v>
      </c>
      <c r="F15" s="64" t="s">
        <v>429</v>
      </c>
      <c r="G15" s="64"/>
      <c r="H15" s="65" t="s">
        <v>473</v>
      </c>
      <c r="I15" s="77"/>
    </row>
    <row r="16" spans="1:9" ht="43.2" x14ac:dyDescent="0.3">
      <c r="A16" s="61" t="s">
        <v>412</v>
      </c>
      <c r="B16" s="62">
        <v>46239</v>
      </c>
      <c r="C16" s="66" t="s">
        <v>465</v>
      </c>
      <c r="D16" s="63">
        <v>174.35</v>
      </c>
      <c r="E16" s="64" t="s">
        <v>491</v>
      </c>
      <c r="F16" s="64" t="s">
        <v>429</v>
      </c>
      <c r="G16" s="64"/>
      <c r="H16" s="65"/>
      <c r="I16" s="77"/>
    </row>
    <row r="17" spans="1:9" x14ac:dyDescent="0.3">
      <c r="A17" s="61" t="s">
        <v>415</v>
      </c>
      <c r="B17" s="62">
        <v>46239</v>
      </c>
      <c r="C17" s="61" t="s">
        <v>464</v>
      </c>
      <c r="D17" s="63">
        <v>77.17</v>
      </c>
      <c r="E17" s="64" t="s">
        <v>491</v>
      </c>
      <c r="F17" s="64" t="s">
        <v>429</v>
      </c>
      <c r="G17" s="64"/>
      <c r="H17" s="65"/>
      <c r="I17" s="77"/>
    </row>
    <row r="18" spans="1:9" ht="28.8" x14ac:dyDescent="0.3">
      <c r="A18" s="61"/>
      <c r="B18" s="62">
        <v>46239</v>
      </c>
      <c r="C18" s="61" t="s">
        <v>457</v>
      </c>
      <c r="D18" s="63">
        <v>4444</v>
      </c>
      <c r="E18" s="64" t="s">
        <v>491</v>
      </c>
      <c r="F18" s="64" t="s">
        <v>428</v>
      </c>
      <c r="G18" s="64"/>
      <c r="H18" s="65" t="s">
        <v>458</v>
      </c>
      <c r="I18" s="77"/>
    </row>
    <row r="19" spans="1:9" x14ac:dyDescent="0.3">
      <c r="A19" s="61"/>
      <c r="B19" s="62">
        <v>46239</v>
      </c>
      <c r="C19" s="61" t="s">
        <v>463</v>
      </c>
      <c r="D19" s="63">
        <v>430.5</v>
      </c>
      <c r="E19" s="64" t="s">
        <v>491</v>
      </c>
      <c r="F19" s="64" t="s">
        <v>429</v>
      </c>
      <c r="G19" s="64"/>
      <c r="H19" s="65"/>
      <c r="I19" s="77"/>
    </row>
    <row r="20" spans="1:9" x14ac:dyDescent="0.3">
      <c r="A20" s="70" t="s">
        <v>461</v>
      </c>
      <c r="B20" s="62">
        <v>46239</v>
      </c>
      <c r="C20" s="61" t="s">
        <v>427</v>
      </c>
      <c r="D20" s="63">
        <v>1537.5</v>
      </c>
      <c r="E20" s="64" t="s">
        <v>491</v>
      </c>
      <c r="F20" s="64" t="s">
        <v>428</v>
      </c>
      <c r="G20" s="64"/>
      <c r="H20" s="65" t="s">
        <v>459</v>
      </c>
      <c r="I20" s="77"/>
    </row>
    <row r="21" spans="1:9" x14ac:dyDescent="0.3">
      <c r="A21" s="70" t="s">
        <v>461</v>
      </c>
      <c r="B21" s="62">
        <v>46239</v>
      </c>
      <c r="C21" s="61" t="s">
        <v>427</v>
      </c>
      <c r="D21" s="63">
        <v>-1537.5</v>
      </c>
      <c r="E21" s="64" t="s">
        <v>491</v>
      </c>
      <c r="F21" s="64" t="s">
        <v>428</v>
      </c>
      <c r="G21" s="64"/>
      <c r="H21" s="65" t="s">
        <v>460</v>
      </c>
      <c r="I21" s="77"/>
    </row>
    <row r="22" spans="1:9" x14ac:dyDescent="0.3">
      <c r="A22" s="61" t="s">
        <v>456</v>
      </c>
      <c r="B22" s="62">
        <v>46234</v>
      </c>
      <c r="C22" s="61" t="s">
        <v>455</v>
      </c>
      <c r="D22" s="63">
        <v>41105.07</v>
      </c>
      <c r="E22" s="64" t="s">
        <v>491</v>
      </c>
      <c r="F22" s="64" t="s">
        <v>428</v>
      </c>
      <c r="G22" s="64"/>
      <c r="H22" s="65"/>
      <c r="I22" s="77"/>
    </row>
    <row r="23" spans="1:9" x14ac:dyDescent="0.3">
      <c r="A23" s="61" t="s">
        <v>413</v>
      </c>
      <c r="B23" s="62">
        <v>46233</v>
      </c>
      <c r="C23" s="61" t="s">
        <v>414</v>
      </c>
      <c r="D23" s="63">
        <v>127</v>
      </c>
      <c r="E23" s="64"/>
      <c r="F23" s="64"/>
      <c r="G23" s="64"/>
      <c r="H23" s="65"/>
      <c r="I23" s="77"/>
    </row>
    <row r="24" spans="1:9" x14ac:dyDescent="0.3">
      <c r="A24" s="61" t="s">
        <v>454</v>
      </c>
      <c r="B24" s="62">
        <v>46232</v>
      </c>
      <c r="C24" s="61" t="s">
        <v>453</v>
      </c>
      <c r="D24" s="63">
        <v>9.74</v>
      </c>
      <c r="E24" s="64" t="s">
        <v>491</v>
      </c>
      <c r="F24" s="64" t="s">
        <v>429</v>
      </c>
      <c r="G24" s="64"/>
      <c r="H24" s="65"/>
      <c r="I24" s="77"/>
    </row>
    <row r="25" spans="1:9" x14ac:dyDescent="0.3">
      <c r="A25" s="61" t="s">
        <v>484</v>
      </c>
      <c r="B25" s="62">
        <v>46232</v>
      </c>
      <c r="C25" s="61" t="s">
        <v>485</v>
      </c>
      <c r="D25" s="63">
        <v>341.02</v>
      </c>
      <c r="E25" s="64"/>
      <c r="F25" s="64"/>
      <c r="G25" s="64" t="s">
        <v>475</v>
      </c>
      <c r="H25" s="65"/>
      <c r="I25" s="77"/>
    </row>
    <row r="26" spans="1:9" ht="57.6" x14ac:dyDescent="0.3">
      <c r="A26" s="61" t="s">
        <v>420</v>
      </c>
      <c r="B26" s="62">
        <v>46231</v>
      </c>
      <c r="C26" s="66" t="s">
        <v>452</v>
      </c>
      <c r="D26" s="63">
        <v>11260</v>
      </c>
      <c r="E26" s="64" t="s">
        <v>491</v>
      </c>
      <c r="F26" s="64" t="s">
        <v>428</v>
      </c>
      <c r="G26" s="64"/>
      <c r="H26" s="65"/>
      <c r="I26" s="77"/>
    </row>
    <row r="27" spans="1:9" ht="28.8" x14ac:dyDescent="0.3">
      <c r="A27" s="61" t="s">
        <v>405</v>
      </c>
      <c r="B27" s="62">
        <v>46230</v>
      </c>
      <c r="C27" s="61" t="s">
        <v>406</v>
      </c>
      <c r="D27" s="64">
        <v>11643.33</v>
      </c>
      <c r="E27" s="64" t="s">
        <v>491</v>
      </c>
      <c r="F27" s="64" t="s">
        <v>428</v>
      </c>
      <c r="G27" s="64"/>
      <c r="H27" s="65" t="s">
        <v>507</v>
      </c>
      <c r="I27" s="77"/>
    </row>
    <row r="28" spans="1:9" x14ac:dyDescent="0.3">
      <c r="A28" s="61" t="s">
        <v>403</v>
      </c>
      <c r="B28" s="62">
        <v>46230</v>
      </c>
      <c r="C28" s="61" t="s">
        <v>404</v>
      </c>
      <c r="D28" s="69">
        <v>156.46</v>
      </c>
      <c r="E28" s="64" t="s">
        <v>491</v>
      </c>
      <c r="F28" s="64" t="s">
        <v>429</v>
      </c>
      <c r="G28" s="64" t="s">
        <v>475</v>
      </c>
      <c r="H28" s="65"/>
      <c r="I28" s="77"/>
    </row>
    <row r="29" spans="1:9" x14ac:dyDescent="0.3">
      <c r="A29" s="68" t="s">
        <v>451</v>
      </c>
      <c r="B29" s="62">
        <v>46230</v>
      </c>
      <c r="C29" s="61" t="s">
        <v>450</v>
      </c>
      <c r="D29" s="63">
        <v>9</v>
      </c>
      <c r="E29" s="64" t="s">
        <v>491</v>
      </c>
      <c r="F29" s="64" t="s">
        <v>425</v>
      </c>
      <c r="G29" s="64"/>
      <c r="H29" s="65"/>
      <c r="I29" s="77"/>
    </row>
    <row r="30" spans="1:9" x14ac:dyDescent="0.3">
      <c r="A30" s="61" t="s">
        <v>480</v>
      </c>
      <c r="B30" s="62">
        <v>46230</v>
      </c>
      <c r="C30" s="61" t="s">
        <v>481</v>
      </c>
      <c r="D30" s="63">
        <v>375.64</v>
      </c>
      <c r="E30" s="64"/>
      <c r="F30" s="64"/>
      <c r="G30" s="64" t="s">
        <v>475</v>
      </c>
      <c r="H30" s="76"/>
      <c r="I30" s="77"/>
    </row>
    <row r="31" spans="1:9" x14ac:dyDescent="0.3">
      <c r="A31" s="61" t="s">
        <v>394</v>
      </c>
      <c r="B31" s="62">
        <v>46226</v>
      </c>
      <c r="C31" s="61" t="s">
        <v>395</v>
      </c>
      <c r="D31" s="63">
        <v>2639.46</v>
      </c>
      <c r="E31" s="64" t="s">
        <v>491</v>
      </c>
      <c r="F31" s="64" t="s">
        <v>428</v>
      </c>
      <c r="G31" s="64"/>
      <c r="H31" s="65" t="s">
        <v>448</v>
      </c>
      <c r="I31" s="77"/>
    </row>
    <row r="32" spans="1:9" x14ac:dyDescent="0.3">
      <c r="A32" s="61" t="s">
        <v>398</v>
      </c>
      <c r="B32" s="62">
        <v>46226</v>
      </c>
      <c r="C32" s="61" t="s">
        <v>399</v>
      </c>
      <c r="D32" s="63">
        <v>467.65</v>
      </c>
      <c r="E32" s="64" t="s">
        <v>491</v>
      </c>
      <c r="F32" s="64" t="s">
        <v>428</v>
      </c>
      <c r="G32" s="64"/>
      <c r="H32" s="65"/>
      <c r="I32" s="77"/>
    </row>
    <row r="33" spans="1:9" x14ac:dyDescent="0.3">
      <c r="A33" s="61" t="s">
        <v>449</v>
      </c>
      <c r="B33" s="62">
        <v>46226</v>
      </c>
      <c r="C33" s="61" t="s">
        <v>462</v>
      </c>
      <c r="D33" s="63">
        <v>27.58</v>
      </c>
      <c r="E33" s="64" t="s">
        <v>491</v>
      </c>
      <c r="F33" s="64" t="s">
        <v>429</v>
      </c>
      <c r="G33" s="64"/>
      <c r="H33" s="65"/>
      <c r="I33" s="77"/>
    </row>
    <row r="34" spans="1:9" x14ac:dyDescent="0.3">
      <c r="A34" s="61" t="s">
        <v>486</v>
      </c>
      <c r="B34" s="62">
        <v>46226</v>
      </c>
      <c r="C34" s="61" t="s">
        <v>487</v>
      </c>
      <c r="D34" s="63">
        <v>15</v>
      </c>
      <c r="E34" s="64" t="s">
        <v>491</v>
      </c>
      <c r="F34" s="64" t="s">
        <v>429</v>
      </c>
      <c r="G34" s="64" t="s">
        <v>491</v>
      </c>
      <c r="H34" s="65"/>
      <c r="I34" s="77"/>
    </row>
    <row r="35" spans="1:9" ht="28.8" x14ac:dyDescent="0.3">
      <c r="A35" s="61" t="s">
        <v>400</v>
      </c>
      <c r="B35" s="62">
        <v>46224</v>
      </c>
      <c r="C35" s="61" t="s">
        <v>401</v>
      </c>
      <c r="D35" s="63">
        <v>11425.25</v>
      </c>
      <c r="E35" s="64" t="s">
        <v>491</v>
      </c>
      <c r="F35" s="64" t="s">
        <v>428</v>
      </c>
      <c r="G35" s="64"/>
      <c r="H35" s="65" t="s">
        <v>507</v>
      </c>
      <c r="I35" s="77"/>
    </row>
    <row r="36" spans="1:9" x14ac:dyDescent="0.3">
      <c r="A36" s="61" t="s">
        <v>402</v>
      </c>
      <c r="B36" s="62">
        <v>46224</v>
      </c>
      <c r="C36" s="61" t="s">
        <v>447</v>
      </c>
      <c r="D36" s="63">
        <v>11241.67</v>
      </c>
      <c r="E36" s="64" t="s">
        <v>491</v>
      </c>
      <c r="F36" s="64" t="s">
        <v>428</v>
      </c>
      <c r="G36" s="64"/>
      <c r="H36" s="65"/>
      <c r="I36" s="77" t="s">
        <v>20</v>
      </c>
    </row>
    <row r="37" spans="1:9" x14ac:dyDescent="0.3">
      <c r="A37" s="61" t="s">
        <v>396</v>
      </c>
      <c r="B37" s="62">
        <v>46223</v>
      </c>
      <c r="C37" s="61" t="s">
        <v>397</v>
      </c>
      <c r="D37" s="63">
        <v>4002.42</v>
      </c>
      <c r="E37" s="64" t="s">
        <v>491</v>
      </c>
      <c r="F37" s="64" t="s">
        <v>428</v>
      </c>
      <c r="G37" s="64"/>
      <c r="H37" s="65" t="s">
        <v>473</v>
      </c>
      <c r="I37" s="77"/>
    </row>
    <row r="38" spans="1:9" x14ac:dyDescent="0.3">
      <c r="A38" s="61" t="s">
        <v>418</v>
      </c>
      <c r="B38" s="62">
        <v>46220</v>
      </c>
      <c r="C38" s="61" t="s">
        <v>419</v>
      </c>
      <c r="D38" s="63">
        <v>49.79</v>
      </c>
      <c r="E38" s="64" t="s">
        <v>491</v>
      </c>
      <c r="F38" s="64" t="s">
        <v>429</v>
      </c>
      <c r="G38" s="64"/>
      <c r="H38" s="65"/>
      <c r="I38" s="77"/>
    </row>
    <row r="39" spans="1:9" ht="72" x14ac:dyDescent="0.3">
      <c r="A39" s="61" t="s">
        <v>477</v>
      </c>
      <c r="B39" s="62">
        <v>46218</v>
      </c>
      <c r="C39" s="66" t="s">
        <v>439</v>
      </c>
      <c r="D39" s="63">
        <f>237.01+54.51</f>
        <v>291.52</v>
      </c>
      <c r="E39" s="64" t="s">
        <v>491</v>
      </c>
      <c r="F39" s="64"/>
      <c r="G39" s="64"/>
      <c r="H39" s="65" t="s">
        <v>741</v>
      </c>
      <c r="I39" s="77"/>
    </row>
    <row r="40" spans="1:9" ht="57.6" x14ac:dyDescent="0.3">
      <c r="A40" s="61" t="s">
        <v>393</v>
      </c>
      <c r="B40" s="62">
        <v>46216</v>
      </c>
      <c r="C40" s="66" t="s">
        <v>438</v>
      </c>
      <c r="D40" s="63">
        <v>21590</v>
      </c>
      <c r="E40" s="64" t="s">
        <v>491</v>
      </c>
      <c r="F40" s="64" t="s">
        <v>428</v>
      </c>
      <c r="G40" s="64"/>
      <c r="H40" s="65"/>
      <c r="I40" s="77"/>
    </row>
    <row r="41" spans="1:9" x14ac:dyDescent="0.3">
      <c r="A41" s="61" t="s">
        <v>410</v>
      </c>
      <c r="B41" s="62">
        <v>46216</v>
      </c>
      <c r="C41" s="61" t="s">
        <v>411</v>
      </c>
      <c r="D41" s="63">
        <v>652.29</v>
      </c>
      <c r="E41" s="64" t="s">
        <v>491</v>
      </c>
      <c r="F41" s="64" t="s">
        <v>429</v>
      </c>
      <c r="G41" s="64"/>
      <c r="H41" s="65"/>
      <c r="I41" s="77"/>
    </row>
    <row r="42" spans="1:9" x14ac:dyDescent="0.3">
      <c r="A42" s="68" t="s">
        <v>445</v>
      </c>
      <c r="B42" s="62">
        <v>46216</v>
      </c>
      <c r="C42" s="61" t="s">
        <v>442</v>
      </c>
      <c r="D42" s="63">
        <v>150</v>
      </c>
      <c r="E42" s="64" t="s">
        <v>491</v>
      </c>
      <c r="F42" s="64" t="s">
        <v>425</v>
      </c>
      <c r="G42" s="64"/>
      <c r="H42" s="65"/>
      <c r="I42" s="77"/>
    </row>
    <row r="43" spans="1:9" ht="28.8" x14ac:dyDescent="0.3">
      <c r="A43" s="61" t="s">
        <v>437</v>
      </c>
      <c r="B43" s="62">
        <v>46213</v>
      </c>
      <c r="C43" s="66" t="s">
        <v>436</v>
      </c>
      <c r="D43" s="63">
        <v>109.69</v>
      </c>
      <c r="E43" s="64" t="s">
        <v>491</v>
      </c>
      <c r="F43" s="64" t="s">
        <v>429</v>
      </c>
      <c r="G43" s="64"/>
      <c r="H43" s="65"/>
      <c r="I43" s="77" t="s">
        <v>20</v>
      </c>
    </row>
    <row r="44" spans="1:9" x14ac:dyDescent="0.3">
      <c r="A44" s="61" t="s">
        <v>435</v>
      </c>
      <c r="B44" s="62">
        <v>46213</v>
      </c>
      <c r="C44" s="61" t="s">
        <v>434</v>
      </c>
      <c r="D44" s="63">
        <v>157.08000000000001</v>
      </c>
      <c r="E44" s="64" t="s">
        <v>491</v>
      </c>
      <c r="F44" s="64" t="s">
        <v>429</v>
      </c>
      <c r="G44" s="64"/>
      <c r="H44" s="65"/>
      <c r="I44" s="77"/>
    </row>
    <row r="45" spans="1:9" x14ac:dyDescent="0.3">
      <c r="A45" s="68" t="s">
        <v>443</v>
      </c>
      <c r="B45" s="62">
        <v>46211</v>
      </c>
      <c r="C45" s="61" t="s">
        <v>442</v>
      </c>
      <c r="D45" s="63">
        <v>90</v>
      </c>
      <c r="E45" s="64" t="s">
        <v>491</v>
      </c>
      <c r="F45" s="64" t="s">
        <v>425</v>
      </c>
      <c r="G45" s="64"/>
      <c r="H45" s="65"/>
      <c r="I45" s="77"/>
    </row>
    <row r="46" spans="1:9" x14ac:dyDescent="0.3">
      <c r="A46" s="68" t="s">
        <v>444</v>
      </c>
      <c r="B46" s="62">
        <v>46211</v>
      </c>
      <c r="C46" s="61" t="s">
        <v>442</v>
      </c>
      <c r="D46" s="63">
        <v>60</v>
      </c>
      <c r="E46" s="64" t="s">
        <v>491</v>
      </c>
      <c r="F46" s="64" t="s">
        <v>425</v>
      </c>
      <c r="G46" s="64"/>
      <c r="H46" s="65"/>
      <c r="I46" s="77"/>
    </row>
    <row r="47" spans="1:9" x14ac:dyDescent="0.3">
      <c r="A47" s="61">
        <v>2003712002</v>
      </c>
      <c r="B47" s="62">
        <v>46203</v>
      </c>
      <c r="C47" s="61" t="s">
        <v>482</v>
      </c>
      <c r="D47" s="63">
        <v>211.7</v>
      </c>
      <c r="E47" s="64"/>
      <c r="F47" s="64"/>
      <c r="G47" s="64" t="s">
        <v>475</v>
      </c>
      <c r="H47" s="65" t="s">
        <v>483</v>
      </c>
      <c r="I47" s="77"/>
    </row>
    <row r="48" spans="1:9" ht="57.6" x14ac:dyDescent="0.3">
      <c r="A48" s="61" t="s">
        <v>392</v>
      </c>
      <c r="B48" s="62">
        <v>46196</v>
      </c>
      <c r="C48" s="66" t="s">
        <v>433</v>
      </c>
      <c r="D48" s="63">
        <v>17020</v>
      </c>
      <c r="E48" s="67" t="s">
        <v>491</v>
      </c>
      <c r="F48" s="64" t="s">
        <v>428</v>
      </c>
      <c r="G48" s="64"/>
      <c r="H48" s="65"/>
      <c r="I48" s="77" t="s">
        <v>20</v>
      </c>
    </row>
    <row r="49" spans="1:9" x14ac:dyDescent="0.3">
      <c r="A49" s="61" t="s">
        <v>441</v>
      </c>
      <c r="B49" s="62">
        <v>46184</v>
      </c>
      <c r="C49" s="61" t="s">
        <v>440</v>
      </c>
      <c r="D49" s="63">
        <v>70</v>
      </c>
      <c r="E49" s="64" t="s">
        <v>491</v>
      </c>
      <c r="F49" s="64" t="s">
        <v>425</v>
      </c>
      <c r="G49" s="64"/>
      <c r="H49" s="65"/>
      <c r="I49" s="77"/>
    </row>
    <row r="50" spans="1:9" x14ac:dyDescent="0.3">
      <c r="A50" s="61" t="s">
        <v>422</v>
      </c>
      <c r="B50" s="62">
        <v>46182</v>
      </c>
      <c r="C50" s="61" t="s">
        <v>423</v>
      </c>
      <c r="D50" s="63">
        <v>67.650000000000006</v>
      </c>
      <c r="E50" s="64" t="s">
        <v>491</v>
      </c>
      <c r="F50" s="64" t="s">
        <v>425</v>
      </c>
      <c r="G50" s="64"/>
      <c r="H50" s="65"/>
      <c r="I50" s="77"/>
    </row>
    <row r="51" spans="1:9" x14ac:dyDescent="0.3">
      <c r="A51" s="61">
        <v>2003711986</v>
      </c>
      <c r="B51" s="62">
        <v>46173</v>
      </c>
      <c r="C51" s="61" t="s">
        <v>490</v>
      </c>
      <c r="D51" s="63">
        <v>485.44</v>
      </c>
      <c r="E51" s="64"/>
      <c r="F51" s="64"/>
      <c r="G51" s="64" t="s">
        <v>491</v>
      </c>
      <c r="H51" s="65"/>
      <c r="I51" s="90"/>
    </row>
    <row r="52" spans="1:9" x14ac:dyDescent="0.3">
      <c r="A52" s="61" t="s">
        <v>416</v>
      </c>
      <c r="B52" s="62">
        <v>46169</v>
      </c>
      <c r="C52" s="61" t="s">
        <v>417</v>
      </c>
      <c r="D52" s="63">
        <v>24</v>
      </c>
      <c r="E52" s="64" t="s">
        <v>491</v>
      </c>
      <c r="F52" s="64" t="s">
        <v>425</v>
      </c>
      <c r="G52" s="64"/>
      <c r="H52" s="65"/>
      <c r="I52" s="77"/>
    </row>
    <row r="53" spans="1:9" x14ac:dyDescent="0.3">
      <c r="A53" s="61" t="s">
        <v>408</v>
      </c>
      <c r="B53" s="62">
        <v>46161</v>
      </c>
      <c r="C53" s="61" t="s">
        <v>409</v>
      </c>
      <c r="D53" s="63">
        <v>550.76</v>
      </c>
      <c r="E53" s="64" t="s">
        <v>491</v>
      </c>
      <c r="F53" s="64" t="s">
        <v>429</v>
      </c>
      <c r="G53" s="64"/>
      <c r="H53" s="65"/>
      <c r="I53" s="77"/>
    </row>
    <row r="54" spans="1:9" x14ac:dyDescent="0.3">
      <c r="A54" s="61"/>
      <c r="B54" s="62"/>
      <c r="C54" s="61" t="s">
        <v>492</v>
      </c>
      <c r="D54" s="63"/>
      <c r="E54" s="64"/>
      <c r="F54" s="64"/>
      <c r="G54" s="64"/>
      <c r="H54" s="65" t="s">
        <v>493</v>
      </c>
      <c r="I54" s="90"/>
    </row>
    <row r="55" spans="1:9" x14ac:dyDescent="0.3">
      <c r="A55" s="71" t="s">
        <v>265</v>
      </c>
      <c r="B55" s="72"/>
      <c r="C55" s="71"/>
      <c r="D55" s="73">
        <f>SUBTOTAL(109,TabelaDespesas[Valor])</f>
        <v>147947.15</v>
      </c>
      <c r="E55" s="74"/>
      <c r="F55" s="74"/>
      <c r="G55" s="74"/>
      <c r="H55" s="75"/>
      <c r="I55" s="71"/>
    </row>
    <row r="56" spans="1:9" x14ac:dyDescent="0.3">
      <c r="D56" s="58"/>
    </row>
  </sheetData>
  <conditionalFormatting sqref="E2:E54">
    <cfRule type="cellIs" dxfId="9" priority="1" operator="equal">
      <formula>"X"</formula>
    </cfRule>
  </conditionalFormatting>
  <conditionalFormatting sqref="G2:G54">
    <cfRule type="cellIs" dxfId="8" priority="2" operator="equal">
      <formula>"X"</formula>
    </cfRule>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promptTitle="Rubrica" prompt="Escolhe da lista. O painel 'Orçamento vs Gasto' soma sozinho." xr:uid="{3C1BE7E3-1054-4C7E-9071-30BA63FB88FE}">
          <x14:formula1>
            <xm:f>Rubricas!$M$1:$M$151</xm:f>
          </x14:formula1>
          <xm:sqref>I2:I54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3A35B-264D-4431-9F03-A44535BAB926}">
  <dimension ref="A1:H33"/>
  <sheetViews>
    <sheetView zoomScale="115" zoomScaleNormal="115" workbookViewId="0">
      <pane ySplit="8" topLeftCell="A21" activePane="bottomLeft" state="frozen"/>
      <selection pane="bottomLeft" activeCell="A9" sqref="A9"/>
    </sheetView>
  </sheetViews>
  <sheetFormatPr defaultRowHeight="14.4" x14ac:dyDescent="0.3"/>
  <cols>
    <col min="1" max="1" width="6.77734375" customWidth="1"/>
    <col min="2" max="2" width="46.77734375" customWidth="1"/>
    <col min="3" max="8" width="17.77734375" customWidth="1"/>
  </cols>
  <sheetData>
    <row r="1" spans="1:8" ht="21" x14ac:dyDescent="0.4">
      <c r="A1" s="80" t="s">
        <v>727</v>
      </c>
    </row>
    <row r="2" spans="1:8" x14ac:dyDescent="0.3">
      <c r="A2" s="81" t="s">
        <v>738</v>
      </c>
    </row>
    <row r="4" spans="1:8" ht="28.8" x14ac:dyDescent="0.3">
      <c r="B4" s="88" t="s">
        <v>728</v>
      </c>
      <c r="C4" s="88" t="s">
        <v>729</v>
      </c>
      <c r="D4" s="88" t="s">
        <v>730</v>
      </c>
      <c r="E4" s="88" t="s">
        <v>731</v>
      </c>
      <c r="F4" s="88" t="s">
        <v>732</v>
      </c>
      <c r="G4" s="88" t="s">
        <v>733</v>
      </c>
      <c r="H4" s="88" t="s">
        <v>515</v>
      </c>
    </row>
    <row r="5" spans="1:8" ht="17.399999999999999" x14ac:dyDescent="0.35">
      <c r="B5" s="94">
        <f>C29</f>
        <v>3000000.0011999994</v>
      </c>
      <c r="C5" s="94">
        <f>D29</f>
        <v>0</v>
      </c>
      <c r="D5" s="94">
        <f>D30</f>
        <v>147947.15</v>
      </c>
      <c r="E5" s="94">
        <f>D31</f>
        <v>0</v>
      </c>
      <c r="F5" s="94">
        <f>SUM(TabelaDespesas[Valor])</f>
        <v>147947.15</v>
      </c>
      <c r="G5" s="89">
        <f>IF(B5=0,"",F5/B5)</f>
        <v>4.9315716646940386E-2</v>
      </c>
      <c r="H5" s="94">
        <f>B5-F5</f>
        <v>2852052.8511999995</v>
      </c>
    </row>
    <row r="7" spans="1:8" x14ac:dyDescent="0.3">
      <c r="A7" s="71" t="s">
        <v>734</v>
      </c>
    </row>
    <row r="8" spans="1:8" x14ac:dyDescent="0.3">
      <c r="A8" s="83" t="s">
        <v>510</v>
      </c>
      <c r="B8" s="83" t="s">
        <v>389</v>
      </c>
      <c r="C8" s="83" t="s">
        <v>513</v>
      </c>
      <c r="D8" s="83" t="s">
        <v>514</v>
      </c>
      <c r="E8" s="83" t="s">
        <v>515</v>
      </c>
      <c r="F8" s="83" t="s">
        <v>516</v>
      </c>
      <c r="G8" s="83" t="s">
        <v>517</v>
      </c>
    </row>
    <row r="9" spans="1:8" x14ac:dyDescent="0.3">
      <c r="A9">
        <v>1</v>
      </c>
      <c r="B9" t="s">
        <v>13</v>
      </c>
      <c r="C9" s="91">
        <v>63359.200000000004</v>
      </c>
      <c r="D9" s="91">
        <f>SUMIF(TabelaRubricas[Cap],$A9,TabelaRubricas[Gasto])</f>
        <v>0</v>
      </c>
      <c r="E9" s="91">
        <f t="shared" ref="E9:E29" si="0">C9-D9</f>
        <v>63359.200000000004</v>
      </c>
      <c r="F9" s="78">
        <f t="shared" ref="F9:F29" si="1">IF(C9=0,"",D9/C9)</f>
        <v>0</v>
      </c>
      <c r="G9" s="82">
        <f>SUMIF(TabelaRubricas[Cap],$A9,TabelaRubricas[Nº faturas])</f>
        <v>0</v>
      </c>
    </row>
    <row r="10" spans="1:8" x14ac:dyDescent="0.3">
      <c r="A10">
        <v>2</v>
      </c>
      <c r="B10" t="s">
        <v>14</v>
      </c>
      <c r="C10" s="91">
        <v>42000</v>
      </c>
      <c r="D10" s="91">
        <f>SUMIF(TabelaRubricas[Cap],$A10,TabelaRubricas[Gasto])</f>
        <v>0</v>
      </c>
      <c r="E10" s="91">
        <f t="shared" si="0"/>
        <v>42000</v>
      </c>
      <c r="F10" s="78">
        <f t="shared" si="1"/>
        <v>0</v>
      </c>
      <c r="G10" s="82">
        <f>SUMIF(TabelaRubricas[Cap],$A10,TabelaRubricas[Nº faturas])</f>
        <v>0</v>
      </c>
    </row>
    <row r="11" spans="1:8" x14ac:dyDescent="0.3">
      <c r="A11">
        <v>3</v>
      </c>
      <c r="B11" t="s">
        <v>15</v>
      </c>
      <c r="C11" s="91">
        <v>34299.86</v>
      </c>
      <c r="D11" s="91">
        <f>SUMIF(TabelaRubricas[Cap],$A11,TabelaRubricas[Gasto])</f>
        <v>0</v>
      </c>
      <c r="E11" s="91">
        <f t="shared" si="0"/>
        <v>34299.86</v>
      </c>
      <c r="F11" s="78">
        <f t="shared" si="1"/>
        <v>0</v>
      </c>
      <c r="G11" s="82">
        <f>SUMIF(TabelaRubricas[Cap],$A11,TabelaRubricas[Nº faturas])</f>
        <v>0</v>
      </c>
    </row>
    <row r="12" spans="1:8" x14ac:dyDescent="0.3">
      <c r="A12">
        <v>4</v>
      </c>
      <c r="B12" t="s">
        <v>24</v>
      </c>
      <c r="C12" s="91">
        <v>563696.29590000003</v>
      </c>
      <c r="D12" s="91">
        <f>SUMIF(TabelaRubricas[Cap],$A12,TabelaRubricas[Gasto])</f>
        <v>0</v>
      </c>
      <c r="E12" s="91">
        <f t="shared" si="0"/>
        <v>563696.29590000003</v>
      </c>
      <c r="F12" s="78">
        <f t="shared" si="1"/>
        <v>0</v>
      </c>
      <c r="G12" s="82">
        <f>SUMIF(TabelaRubricas[Cap],$A12,TabelaRubricas[Nº faturas])</f>
        <v>0</v>
      </c>
    </row>
    <row r="13" spans="1:8" x14ac:dyDescent="0.3">
      <c r="A13">
        <v>5</v>
      </c>
      <c r="B13" t="s">
        <v>46</v>
      </c>
      <c r="C13" s="91">
        <v>111400.77849999999</v>
      </c>
      <c r="D13" s="91">
        <f>SUMIF(TabelaRubricas[Cap],$A13,TabelaRubricas[Gasto])</f>
        <v>0</v>
      </c>
      <c r="E13" s="91">
        <f t="shared" si="0"/>
        <v>111400.77849999999</v>
      </c>
      <c r="F13" s="78">
        <f t="shared" si="1"/>
        <v>0</v>
      </c>
      <c r="G13" s="82">
        <f>SUMIF(TabelaRubricas[Cap],$A13,TabelaRubricas[Nº faturas])</f>
        <v>0</v>
      </c>
    </row>
    <row r="14" spans="1:8" x14ac:dyDescent="0.3">
      <c r="A14">
        <v>6</v>
      </c>
      <c r="B14" t="s">
        <v>59</v>
      </c>
      <c r="C14" s="91">
        <v>154438.14369999999</v>
      </c>
      <c r="D14" s="91">
        <f>SUMIF(TabelaRubricas[Cap],$A14,TabelaRubricas[Gasto])</f>
        <v>0</v>
      </c>
      <c r="E14" s="91">
        <f t="shared" si="0"/>
        <v>154438.14369999999</v>
      </c>
      <c r="F14" s="78">
        <f t="shared" si="1"/>
        <v>0</v>
      </c>
      <c r="G14" s="82">
        <f>SUMIF(TabelaRubricas[Cap],$A14,TabelaRubricas[Nº faturas])</f>
        <v>0</v>
      </c>
    </row>
    <row r="15" spans="1:8" x14ac:dyDescent="0.3">
      <c r="A15">
        <v>7</v>
      </c>
      <c r="B15" t="s">
        <v>73</v>
      </c>
      <c r="C15" s="91">
        <v>16466.201499999999</v>
      </c>
      <c r="D15" s="91">
        <f>SUMIF(TabelaRubricas[Cap],$A15,TabelaRubricas[Gasto])</f>
        <v>0</v>
      </c>
      <c r="E15" s="91">
        <f t="shared" si="0"/>
        <v>16466.201499999999</v>
      </c>
      <c r="F15" s="78">
        <f t="shared" si="1"/>
        <v>0</v>
      </c>
      <c r="G15" s="82">
        <f>SUMIF(TabelaRubricas[Cap],$A15,TabelaRubricas[Nº faturas])</f>
        <v>0</v>
      </c>
    </row>
    <row r="16" spans="1:8" x14ac:dyDescent="0.3">
      <c r="A16">
        <v>8</v>
      </c>
      <c r="B16" t="s">
        <v>81</v>
      </c>
      <c r="C16" s="91">
        <v>135519.25390000001</v>
      </c>
      <c r="D16" s="91">
        <f>SUMIF(TabelaRubricas[Cap],$A16,TabelaRubricas[Gasto])</f>
        <v>0</v>
      </c>
      <c r="E16" s="91">
        <f t="shared" si="0"/>
        <v>135519.25390000001</v>
      </c>
      <c r="F16" s="78">
        <f t="shared" si="1"/>
        <v>0</v>
      </c>
      <c r="G16" s="82">
        <f>SUMIF(TabelaRubricas[Cap],$A16,TabelaRubricas[Nº faturas])</f>
        <v>0</v>
      </c>
    </row>
    <row r="17" spans="1:7" x14ac:dyDescent="0.3">
      <c r="A17">
        <v>9</v>
      </c>
      <c r="B17" t="s">
        <v>598</v>
      </c>
      <c r="C17" s="91">
        <v>393014.1226</v>
      </c>
      <c r="D17" s="91">
        <f>SUMIF(TabelaRubricas[Cap],$A17,TabelaRubricas[Gasto])</f>
        <v>0</v>
      </c>
      <c r="E17" s="91">
        <f t="shared" si="0"/>
        <v>393014.1226</v>
      </c>
      <c r="F17" s="78">
        <f t="shared" si="1"/>
        <v>0</v>
      </c>
      <c r="G17" s="82">
        <f>SUMIF(TabelaRubricas[Cap],$A17,TabelaRubricas[Nº faturas])</f>
        <v>0</v>
      </c>
    </row>
    <row r="18" spans="1:7" x14ac:dyDescent="0.3">
      <c r="A18">
        <v>10</v>
      </c>
      <c r="B18" t="s">
        <v>153</v>
      </c>
      <c r="C18" s="91">
        <v>57407.268700000001</v>
      </c>
      <c r="D18" s="91">
        <f>SUMIF(TabelaRubricas[Cap],$A18,TabelaRubricas[Gasto])</f>
        <v>0</v>
      </c>
      <c r="E18" s="91">
        <f t="shared" si="0"/>
        <v>57407.268700000001</v>
      </c>
      <c r="F18" s="78">
        <f t="shared" si="1"/>
        <v>0</v>
      </c>
      <c r="G18" s="82">
        <f>SUMIF(TabelaRubricas[Cap],$A18,TabelaRubricas[Nº faturas])</f>
        <v>0</v>
      </c>
    </row>
    <row r="19" spans="1:7" x14ac:dyDescent="0.3">
      <c r="A19">
        <v>11</v>
      </c>
      <c r="B19" t="s">
        <v>154</v>
      </c>
      <c r="C19" s="91">
        <v>7915.2083999999995</v>
      </c>
      <c r="D19" s="91">
        <f>SUMIF(TabelaRubricas[Cap],$A19,TabelaRubricas[Gasto])</f>
        <v>0</v>
      </c>
      <c r="E19" s="91">
        <f t="shared" si="0"/>
        <v>7915.2083999999995</v>
      </c>
      <c r="F19" s="78">
        <f t="shared" si="1"/>
        <v>0</v>
      </c>
      <c r="G19" s="82">
        <f>SUMIF(TabelaRubricas[Cap],$A19,TabelaRubricas[Nº faturas])</f>
        <v>0</v>
      </c>
    </row>
    <row r="20" spans="1:7" x14ac:dyDescent="0.3">
      <c r="A20">
        <v>12</v>
      </c>
      <c r="B20" t="s">
        <v>152</v>
      </c>
      <c r="C20" s="91">
        <v>94494.937399999995</v>
      </c>
      <c r="D20" s="91">
        <f>SUMIF(TabelaRubricas[Cap],$A20,TabelaRubricas[Gasto])</f>
        <v>0</v>
      </c>
      <c r="E20" s="91">
        <f t="shared" si="0"/>
        <v>94494.937399999995</v>
      </c>
      <c r="F20" s="78">
        <f t="shared" si="1"/>
        <v>0</v>
      </c>
      <c r="G20" s="82">
        <f>SUMIF(TabelaRubricas[Cap],$A20,TabelaRubricas[Nº faturas])</f>
        <v>0</v>
      </c>
    </row>
    <row r="21" spans="1:7" x14ac:dyDescent="0.3">
      <c r="A21">
        <v>13</v>
      </c>
      <c r="B21" t="s">
        <v>171</v>
      </c>
      <c r="C21" s="91">
        <v>390609.20039999997</v>
      </c>
      <c r="D21" s="91">
        <f>SUMIF(TabelaRubricas[Cap],$A21,TabelaRubricas[Gasto])</f>
        <v>0</v>
      </c>
      <c r="E21" s="91">
        <f t="shared" si="0"/>
        <v>390609.20039999997</v>
      </c>
      <c r="F21" s="78">
        <f t="shared" si="1"/>
        <v>0</v>
      </c>
      <c r="G21" s="82">
        <f>SUMIF(TabelaRubricas[Cap],$A21,TabelaRubricas[Nº faturas])</f>
        <v>0</v>
      </c>
    </row>
    <row r="22" spans="1:7" x14ac:dyDescent="0.3">
      <c r="A22">
        <v>14</v>
      </c>
      <c r="B22" t="s">
        <v>195</v>
      </c>
      <c r="C22" s="91">
        <v>61947.1</v>
      </c>
      <c r="D22" s="91">
        <f>SUMIF(TabelaRubricas[Cap],$A22,TabelaRubricas[Gasto])</f>
        <v>0</v>
      </c>
      <c r="E22" s="91">
        <f t="shared" si="0"/>
        <v>61947.1</v>
      </c>
      <c r="F22" s="78">
        <f t="shared" si="1"/>
        <v>0</v>
      </c>
      <c r="G22" s="82">
        <f>SUMIF(TabelaRubricas[Cap],$A22,TabelaRubricas[Nº faturas])</f>
        <v>0</v>
      </c>
    </row>
    <row r="23" spans="1:7" x14ac:dyDescent="0.3">
      <c r="A23">
        <v>15</v>
      </c>
      <c r="B23" t="s">
        <v>214</v>
      </c>
      <c r="C23" s="91">
        <v>175685.88</v>
      </c>
      <c r="D23" s="91">
        <f>SUMIF(TabelaRubricas[Cap],$A23,TabelaRubricas[Gasto])</f>
        <v>0</v>
      </c>
      <c r="E23" s="91">
        <f t="shared" si="0"/>
        <v>175685.88</v>
      </c>
      <c r="F23" s="78">
        <f t="shared" si="1"/>
        <v>0</v>
      </c>
      <c r="G23" s="82">
        <f>SUMIF(TabelaRubricas[Cap],$A23,TabelaRubricas[Nº faturas])</f>
        <v>0</v>
      </c>
    </row>
    <row r="24" spans="1:7" x14ac:dyDescent="0.3">
      <c r="A24">
        <v>16</v>
      </c>
      <c r="B24" t="s">
        <v>219</v>
      </c>
      <c r="C24" s="91">
        <v>234000</v>
      </c>
      <c r="D24" s="91">
        <f>SUMIF(TabelaRubricas[Cap],$A24,TabelaRubricas[Gasto])</f>
        <v>0</v>
      </c>
      <c r="E24" s="91">
        <f t="shared" si="0"/>
        <v>234000</v>
      </c>
      <c r="F24" s="78">
        <f t="shared" si="1"/>
        <v>0</v>
      </c>
      <c r="G24" s="82">
        <f>SUMIF(TabelaRubricas[Cap],$A24,TabelaRubricas[Nº faturas])</f>
        <v>0</v>
      </c>
    </row>
    <row r="25" spans="1:7" x14ac:dyDescent="0.3">
      <c r="A25">
        <v>17</v>
      </c>
      <c r="B25" t="s">
        <v>223</v>
      </c>
      <c r="C25" s="91">
        <v>221116.34000000003</v>
      </c>
      <c r="D25" s="91">
        <f>SUMIF(TabelaRubricas[Cap],$A25,TabelaRubricas[Gasto])</f>
        <v>0</v>
      </c>
      <c r="E25" s="91">
        <f t="shared" si="0"/>
        <v>221116.34000000003</v>
      </c>
      <c r="F25" s="78">
        <f t="shared" si="1"/>
        <v>0</v>
      </c>
      <c r="G25" s="82">
        <f>SUMIF(TabelaRubricas[Cap],$A25,TabelaRubricas[Nº faturas])</f>
        <v>0</v>
      </c>
    </row>
    <row r="26" spans="1:7" x14ac:dyDescent="0.3">
      <c r="A26">
        <v>18</v>
      </c>
      <c r="B26" t="s">
        <v>226</v>
      </c>
      <c r="C26" s="91">
        <v>215292.48</v>
      </c>
      <c r="D26" s="91">
        <f>SUMIF(TabelaRubricas[Cap],$A26,TabelaRubricas[Gasto])</f>
        <v>0</v>
      </c>
      <c r="E26" s="91">
        <f t="shared" si="0"/>
        <v>215292.48</v>
      </c>
      <c r="F26" s="78">
        <f t="shared" si="1"/>
        <v>0</v>
      </c>
      <c r="G26" s="82">
        <f>SUMIF(TabelaRubricas[Cap],$A26,TabelaRubricas[Nº faturas])</f>
        <v>0</v>
      </c>
    </row>
    <row r="27" spans="1:7" x14ac:dyDescent="0.3">
      <c r="A27">
        <v>19</v>
      </c>
      <c r="B27" t="s">
        <v>250</v>
      </c>
      <c r="C27" s="91">
        <v>14995.880000000001</v>
      </c>
      <c r="D27" s="91">
        <f>SUMIF(TabelaRubricas[Cap],$A27,TabelaRubricas[Gasto])</f>
        <v>0</v>
      </c>
      <c r="E27" s="91">
        <f t="shared" si="0"/>
        <v>14995.880000000001</v>
      </c>
      <c r="F27" s="78">
        <f t="shared" si="1"/>
        <v>0</v>
      </c>
      <c r="G27" s="82">
        <f>SUMIF(TabelaRubricas[Cap],$A27,TabelaRubricas[Nº faturas])</f>
        <v>0</v>
      </c>
    </row>
    <row r="28" spans="1:7" x14ac:dyDescent="0.3">
      <c r="A28">
        <v>20</v>
      </c>
      <c r="B28" t="s">
        <v>251</v>
      </c>
      <c r="C28" s="91">
        <v>12341.850200000001</v>
      </c>
      <c r="D28" s="91">
        <f>SUMIF(TabelaRubricas[Cap],$A28,TabelaRubricas[Gasto])</f>
        <v>0</v>
      </c>
      <c r="E28" s="91">
        <f t="shared" si="0"/>
        <v>12341.850200000001</v>
      </c>
      <c r="F28" s="78">
        <f t="shared" si="1"/>
        <v>0</v>
      </c>
      <c r="G28" s="82">
        <f>SUMIF(TabelaRubricas[Cap],$A28,TabelaRubricas[Nº faturas])</f>
        <v>0</v>
      </c>
    </row>
    <row r="29" spans="1:7" x14ac:dyDescent="0.3">
      <c r="A29" s="84"/>
      <c r="B29" s="84" t="s">
        <v>265</v>
      </c>
      <c r="C29" s="92">
        <f>SUM(C9:C28)</f>
        <v>3000000.0011999994</v>
      </c>
      <c r="D29" s="92">
        <f>SUM(D9:D28)</f>
        <v>0</v>
      </c>
      <c r="E29" s="92">
        <f t="shared" si="0"/>
        <v>3000000.0011999994</v>
      </c>
      <c r="F29" s="85">
        <f t="shared" si="1"/>
        <v>0</v>
      </c>
      <c r="G29" s="86">
        <f>SUM(G9:G28)</f>
        <v>0</v>
      </c>
    </row>
    <row r="30" spans="1:7" x14ac:dyDescent="0.3">
      <c r="A30" s="81"/>
      <c r="B30" s="81" t="s">
        <v>735</v>
      </c>
      <c r="C30" s="93"/>
      <c r="D30" s="93" cm="1">
        <f t="array" ref="D30">SUMPRODUCT((TabelaDespesas[Rubrica]="")*TabelaDespesas[Valor])</f>
        <v>147947.15</v>
      </c>
      <c r="E30" s="93"/>
      <c r="F30" s="81"/>
      <c r="G30" s="87" cm="1">
        <f t="array" ref="G30">SUMPRODUCT(--(TabelaDespesas[Rubrica]=""))</f>
        <v>53</v>
      </c>
    </row>
    <row r="31" spans="1:7" x14ac:dyDescent="0.3">
      <c r="A31" s="81"/>
      <c r="B31" s="81" t="s">
        <v>736</v>
      </c>
      <c r="C31" s="93"/>
      <c r="D31" s="93">
        <f>SUM(TabelaDespesas[Valor])-D29-D30</f>
        <v>0</v>
      </c>
      <c r="E31" s="93"/>
      <c r="F31" s="81"/>
      <c r="G31" s="87" cm="1">
        <f t="array" ref="G31">SUMPRODUCT(--(TabelaDespesas[Rubrica]&lt;&gt;""))-G29</f>
        <v>0</v>
      </c>
    </row>
    <row r="33" spans="1:1" x14ac:dyDescent="0.3">
      <c r="A33" s="81" t="s">
        <v>737</v>
      </c>
    </row>
  </sheetData>
  <conditionalFormatting sqref="E9:E29">
    <cfRule type="cellIs" dxfId="7" priority="3" operator="lessThan">
      <formula>0</formula>
    </cfRule>
  </conditionalFormatting>
  <conditionalFormatting sqref="F9:F28">
    <cfRule type="dataBar" priority="1">
      <dataBar>
        <cfvo type="num" val="0"/>
        <cfvo type="num" val="1"/>
        <color rgb="FF638EC6"/>
      </dataBar>
      <extLst>
        <ext xmlns:x14="http://schemas.microsoft.com/office/spreadsheetml/2009/9/main" uri="{B025F937-C7B1-47D3-B67F-A62EFF666E3E}">
          <x14:id>{600D5F77-838D-4233-BC0E-25A342F34E29}</x14:id>
        </ext>
      </extLst>
    </cfRule>
    <cfRule type="cellIs" dxfId="6" priority="2" operator="greaterThan">
      <formul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00D5F77-838D-4233-BC0E-25A342F34E29}">
            <x14:dataBar minLength="0" maxLength="100" negativeBarColorSameAsPositive="1" axisPosition="none">
              <x14:cfvo type="num">
                <xm:f>0</xm:f>
              </x14:cfvo>
              <x14:cfvo type="num">
                <xm:f>1</xm:f>
              </x14:cfvo>
            </x14:dataBar>
          </x14:cfRule>
          <xm:sqref>F9:F28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DE7D8-867F-49FA-833C-16EA3454ABF8}">
  <dimension ref="A1:M175"/>
  <sheetViews>
    <sheetView workbookViewId="0">
      <pane ySplit="1" topLeftCell="A56" activePane="bottomLeft" state="frozen"/>
      <selection pane="bottomLeft" activeCell="A2" sqref="A2"/>
    </sheetView>
  </sheetViews>
  <sheetFormatPr defaultRowHeight="14.4" x14ac:dyDescent="0.3"/>
  <cols>
    <col min="1" max="1" width="10.77734375" style="77" customWidth="1"/>
    <col min="2" max="2" width="62.77734375" customWidth="1"/>
    <col min="3" max="3" width="6.77734375" customWidth="1"/>
    <col min="4" max="4" width="7.77734375" customWidth="1"/>
    <col min="5" max="5" width="11.77734375" customWidth="1"/>
    <col min="6" max="10" width="13.77734375" customWidth="1"/>
    <col min="11" max="11" width="40.77734375" style="77" customWidth="1"/>
    <col min="13" max="13" width="0" style="77" hidden="1" customWidth="1"/>
  </cols>
  <sheetData>
    <row r="1" spans="1:13" x14ac:dyDescent="0.3">
      <c r="A1" s="79" t="s">
        <v>509</v>
      </c>
      <c r="B1" s="71" t="s">
        <v>2</v>
      </c>
      <c r="C1" s="71" t="s">
        <v>510</v>
      </c>
      <c r="D1" s="71" t="s">
        <v>511</v>
      </c>
      <c r="E1" s="71" t="s">
        <v>512</v>
      </c>
      <c r="F1" s="71" t="s">
        <v>513</v>
      </c>
      <c r="G1" s="71" t="s">
        <v>514</v>
      </c>
      <c r="H1" s="71" t="s">
        <v>515</v>
      </c>
      <c r="I1" s="71" t="s">
        <v>516</v>
      </c>
      <c r="J1" s="71" t="s">
        <v>517</v>
      </c>
      <c r="K1" s="79" t="s">
        <v>518</v>
      </c>
      <c r="M1" s="77" t="s">
        <v>521</v>
      </c>
    </row>
    <row r="2" spans="1:13" x14ac:dyDescent="0.3">
      <c r="A2" s="79" t="s">
        <v>519</v>
      </c>
      <c r="B2" s="71" t="s">
        <v>13</v>
      </c>
      <c r="C2" s="71">
        <v>1</v>
      </c>
      <c r="D2" s="71">
        <v>1</v>
      </c>
      <c r="E2" s="71" t="s">
        <v>520</v>
      </c>
      <c r="F2" s="73">
        <v>63359.200000000004</v>
      </c>
      <c r="G2" s="73">
        <f>SUMIF(TabelaDespesas[Rubrica],$K2,TabelaDespesas[Valor])+SUMIF(TabelaDespesas[Rubrica],$A2,TabelaDespesas[Valor])+SUMIF(TabelaDespesas[Rubrica],$A2&amp;".",TabelaDespesas[Valor])</f>
        <v>0</v>
      </c>
      <c r="H2" s="73">
        <f t="shared" ref="H2:H33" si="0">F2-G2</f>
        <v>63359.200000000004</v>
      </c>
      <c r="I2" s="95">
        <f t="shared" ref="I2:I33" si="1">IF(F2=0,"",G2/F2)</f>
        <v>0</v>
      </c>
      <c r="J2" s="71">
        <f>COUNTIF(TabelaDespesas[Rubrica],$K2)+COUNTIF(TabelaDespesas[Rubrica],$A2)+COUNTIF(TabelaDespesas[Rubrica],$A2&amp;".")</f>
        <v>0</v>
      </c>
      <c r="K2" s="79" t="s">
        <v>521</v>
      </c>
      <c r="M2" s="77" t="s">
        <v>526</v>
      </c>
    </row>
    <row r="3" spans="1:13" x14ac:dyDescent="0.3">
      <c r="A3" s="77" t="s">
        <v>522</v>
      </c>
      <c r="B3" t="s">
        <v>9</v>
      </c>
      <c r="C3">
        <v>1</v>
      </c>
      <c r="D3">
        <v>2</v>
      </c>
      <c r="E3" t="s">
        <v>523</v>
      </c>
      <c r="F3" s="91">
        <v>0</v>
      </c>
      <c r="G3" s="91">
        <f>SUMIF(TabelaDespesas[Rubrica],$K3,TabelaDespesas[Valor])+SUMIF(TabelaDespesas[Rubrica],$A3,TabelaDespesas[Valor])+SUMIF(TabelaDespesas[Rubrica],$A3&amp;".",TabelaDespesas[Valor])</f>
        <v>0</v>
      </c>
      <c r="H3" s="91">
        <f t="shared" si="0"/>
        <v>0</v>
      </c>
      <c r="I3" s="78" t="str">
        <f t="shared" si="1"/>
        <v/>
      </c>
      <c r="J3">
        <f>COUNTIF(TabelaDespesas[Rubrica],$K3)+COUNTIF(TabelaDespesas[Rubrica],$A3)+COUNTIF(TabelaDespesas[Rubrica],$A3&amp;".")</f>
        <v>0</v>
      </c>
      <c r="K3" s="77" t="s">
        <v>524</v>
      </c>
      <c r="M3" s="77" t="s">
        <v>527</v>
      </c>
    </row>
    <row r="4" spans="1:13" x14ac:dyDescent="0.3">
      <c r="A4" s="77" t="s">
        <v>284</v>
      </c>
      <c r="B4" t="s">
        <v>4</v>
      </c>
      <c r="C4">
        <v>1</v>
      </c>
      <c r="D4">
        <v>3</v>
      </c>
      <c r="E4" t="s">
        <v>525</v>
      </c>
      <c r="F4" s="91">
        <v>25000</v>
      </c>
      <c r="G4" s="91">
        <f>SUMIF(TabelaDespesas[Rubrica],$K4,TabelaDespesas[Valor])+SUMIF(TabelaDespesas[Rubrica],$A4,TabelaDespesas[Valor])+SUMIF(TabelaDespesas[Rubrica],$A4&amp;".",TabelaDespesas[Valor])</f>
        <v>0</v>
      </c>
      <c r="H4" s="91">
        <f t="shared" si="0"/>
        <v>25000</v>
      </c>
      <c r="I4" s="78">
        <f t="shared" si="1"/>
        <v>0</v>
      </c>
      <c r="J4">
        <f>COUNTIF(TabelaDespesas[Rubrica],$K4)+COUNTIF(TabelaDespesas[Rubrica],$A4)+COUNTIF(TabelaDespesas[Rubrica],$A4&amp;".")</f>
        <v>0</v>
      </c>
      <c r="K4" s="77" t="s">
        <v>526</v>
      </c>
      <c r="M4" s="77" t="s">
        <v>528</v>
      </c>
    </row>
    <row r="5" spans="1:13" x14ac:dyDescent="0.3">
      <c r="A5" s="77" t="s">
        <v>285</v>
      </c>
      <c r="B5" t="s">
        <v>5</v>
      </c>
      <c r="C5">
        <v>1</v>
      </c>
      <c r="D5">
        <v>3</v>
      </c>
      <c r="E5" t="s">
        <v>525</v>
      </c>
      <c r="F5" s="91">
        <v>32000</v>
      </c>
      <c r="G5" s="91">
        <f>SUMIF(TabelaDespesas[Rubrica],$K5,TabelaDespesas[Valor])+SUMIF(TabelaDespesas[Rubrica],$A5,TabelaDespesas[Valor])+SUMIF(TabelaDespesas[Rubrica],$A5&amp;".",TabelaDespesas[Valor])</f>
        <v>0</v>
      </c>
      <c r="H5" s="91">
        <f t="shared" si="0"/>
        <v>32000</v>
      </c>
      <c r="I5" s="78">
        <f t="shared" si="1"/>
        <v>0</v>
      </c>
      <c r="J5">
        <f>COUNTIF(TabelaDespesas[Rubrica],$K5)+COUNTIF(TabelaDespesas[Rubrica],$A5)+COUNTIF(TabelaDespesas[Rubrica],$A5&amp;".")</f>
        <v>0</v>
      </c>
      <c r="K5" s="77" t="s">
        <v>527</v>
      </c>
      <c r="M5" s="77" t="s">
        <v>530</v>
      </c>
    </row>
    <row r="6" spans="1:13" x14ac:dyDescent="0.3">
      <c r="A6" s="77" t="s">
        <v>286</v>
      </c>
      <c r="B6" t="s">
        <v>6</v>
      </c>
      <c r="C6">
        <v>1</v>
      </c>
      <c r="D6">
        <v>3</v>
      </c>
      <c r="E6" t="s">
        <v>525</v>
      </c>
      <c r="F6" s="91">
        <v>5325</v>
      </c>
      <c r="G6" s="91">
        <f>SUMIF(TabelaDespesas[Rubrica],$K6,TabelaDespesas[Valor])+SUMIF(TabelaDespesas[Rubrica],$A6,TabelaDespesas[Valor])+SUMIF(TabelaDespesas[Rubrica],$A6&amp;".",TabelaDespesas[Valor])</f>
        <v>0</v>
      </c>
      <c r="H6" s="91">
        <f t="shared" si="0"/>
        <v>5325</v>
      </c>
      <c r="I6" s="78">
        <f t="shared" si="1"/>
        <v>0</v>
      </c>
      <c r="J6">
        <f>COUNTIF(TabelaDespesas[Rubrica],$K6)+COUNTIF(TabelaDespesas[Rubrica],$A6)+COUNTIF(TabelaDespesas[Rubrica],$A6&amp;".")</f>
        <v>0</v>
      </c>
      <c r="K6" s="77" t="s">
        <v>528</v>
      </c>
      <c r="M6" s="77" t="s">
        <v>532</v>
      </c>
    </row>
    <row r="7" spans="1:13" x14ac:dyDescent="0.3">
      <c r="A7" s="77" t="s">
        <v>287</v>
      </c>
      <c r="B7" t="s">
        <v>529</v>
      </c>
      <c r="C7">
        <v>1</v>
      </c>
      <c r="D7">
        <v>2</v>
      </c>
      <c r="E7" t="s">
        <v>525</v>
      </c>
      <c r="F7" s="91">
        <v>705.72</v>
      </c>
      <c r="G7" s="91">
        <f>SUMIF(TabelaDespesas[Rubrica],$K7,TabelaDespesas[Valor])+SUMIF(TabelaDespesas[Rubrica],$A7,TabelaDespesas[Valor])+SUMIF(TabelaDespesas[Rubrica],$A7&amp;".",TabelaDespesas[Valor])</f>
        <v>0</v>
      </c>
      <c r="H7" s="91">
        <f t="shared" si="0"/>
        <v>705.72</v>
      </c>
      <c r="I7" s="78">
        <f t="shared" si="1"/>
        <v>0</v>
      </c>
      <c r="J7">
        <f>COUNTIF(TabelaDespesas[Rubrica],$K7)+COUNTIF(TabelaDespesas[Rubrica],$A7)+COUNTIF(TabelaDespesas[Rubrica],$A7&amp;".")</f>
        <v>0</v>
      </c>
      <c r="K7" s="77" t="s">
        <v>530</v>
      </c>
      <c r="M7" s="77" t="s">
        <v>534</v>
      </c>
    </row>
    <row r="8" spans="1:13" x14ac:dyDescent="0.3">
      <c r="A8" s="77" t="s">
        <v>288</v>
      </c>
      <c r="B8" t="s">
        <v>531</v>
      </c>
      <c r="C8">
        <v>1</v>
      </c>
      <c r="D8">
        <v>2</v>
      </c>
      <c r="E8" t="s">
        <v>525</v>
      </c>
      <c r="F8" s="91">
        <v>328.48</v>
      </c>
      <c r="G8" s="91">
        <f>SUMIF(TabelaDespesas[Rubrica],$K8,TabelaDespesas[Valor])+SUMIF(TabelaDespesas[Rubrica],$A8,TabelaDespesas[Valor])+SUMIF(TabelaDespesas[Rubrica],$A8&amp;".",TabelaDespesas[Valor])</f>
        <v>0</v>
      </c>
      <c r="H8" s="91">
        <f t="shared" si="0"/>
        <v>328.48</v>
      </c>
      <c r="I8" s="78">
        <f t="shared" si="1"/>
        <v>0</v>
      </c>
      <c r="J8">
        <f>COUNTIF(TabelaDespesas[Rubrica],$K8)+COUNTIF(TabelaDespesas[Rubrica],$A8)+COUNTIF(TabelaDespesas[Rubrica],$A8&amp;".")</f>
        <v>0</v>
      </c>
      <c r="K8" s="77" t="s">
        <v>532</v>
      </c>
      <c r="M8" s="77" t="s">
        <v>536</v>
      </c>
    </row>
    <row r="9" spans="1:13" x14ac:dyDescent="0.3">
      <c r="A9" s="79" t="s">
        <v>533</v>
      </c>
      <c r="B9" s="71" t="s">
        <v>14</v>
      </c>
      <c r="C9" s="71">
        <v>2</v>
      </c>
      <c r="D9" s="71">
        <v>1</v>
      </c>
      <c r="E9" s="71" t="s">
        <v>520</v>
      </c>
      <c r="F9" s="73">
        <v>42000</v>
      </c>
      <c r="G9" s="73">
        <f>SUMIF(TabelaDespesas[Rubrica],$K9,TabelaDespesas[Valor])+SUMIF(TabelaDespesas[Rubrica],$A9,TabelaDespesas[Valor])+SUMIF(TabelaDespesas[Rubrica],$A9&amp;".",TabelaDespesas[Valor])</f>
        <v>0</v>
      </c>
      <c r="H9" s="73">
        <f t="shared" si="0"/>
        <v>42000</v>
      </c>
      <c r="I9" s="95">
        <f t="shared" si="1"/>
        <v>0</v>
      </c>
      <c r="J9" s="71">
        <f>COUNTIF(TabelaDespesas[Rubrica],$K9)+COUNTIF(TabelaDespesas[Rubrica],$A9)+COUNTIF(TabelaDespesas[Rubrica],$A9&amp;".")</f>
        <v>0</v>
      </c>
      <c r="K9" s="79" t="s">
        <v>534</v>
      </c>
      <c r="M9" s="77" t="s">
        <v>538</v>
      </c>
    </row>
    <row r="10" spans="1:13" x14ac:dyDescent="0.3">
      <c r="A10" s="77" t="s">
        <v>16</v>
      </c>
      <c r="B10" t="s">
        <v>535</v>
      </c>
      <c r="C10">
        <v>2</v>
      </c>
      <c r="D10">
        <v>2</v>
      </c>
      <c r="E10" t="s">
        <v>525</v>
      </c>
      <c r="F10" s="91">
        <v>42000</v>
      </c>
      <c r="G10" s="91">
        <f>SUMIF(TabelaDespesas[Rubrica],$K10,TabelaDespesas[Valor])+SUMIF(TabelaDespesas[Rubrica],$A10,TabelaDespesas[Valor])+SUMIF(TabelaDespesas[Rubrica],$A10&amp;".",TabelaDespesas[Valor])</f>
        <v>0</v>
      </c>
      <c r="H10" s="91">
        <f t="shared" si="0"/>
        <v>42000</v>
      </c>
      <c r="I10" s="78">
        <f t="shared" si="1"/>
        <v>0</v>
      </c>
      <c r="J10">
        <f>COUNTIF(TabelaDespesas[Rubrica],$K10)+COUNTIF(TabelaDespesas[Rubrica],$A10)+COUNTIF(TabelaDespesas[Rubrica],$A10&amp;".")</f>
        <v>0</v>
      </c>
      <c r="K10" s="77" t="s">
        <v>536</v>
      </c>
      <c r="M10" s="77" t="s">
        <v>539</v>
      </c>
    </row>
    <row r="11" spans="1:13" x14ac:dyDescent="0.3">
      <c r="A11" s="79" t="s">
        <v>537</v>
      </c>
      <c r="B11" s="71" t="s">
        <v>15</v>
      </c>
      <c r="C11" s="71">
        <v>3</v>
      </c>
      <c r="D11" s="71">
        <v>1</v>
      </c>
      <c r="E11" s="71" t="s">
        <v>520</v>
      </c>
      <c r="F11" s="73">
        <v>34299.86</v>
      </c>
      <c r="G11" s="73">
        <f>SUMIF(TabelaDespesas[Rubrica],$K11,TabelaDespesas[Valor])+SUMIF(TabelaDespesas[Rubrica],$A11,TabelaDespesas[Valor])+SUMIF(TabelaDespesas[Rubrica],$A11&amp;".",TabelaDespesas[Valor])</f>
        <v>0</v>
      </c>
      <c r="H11" s="73">
        <f t="shared" si="0"/>
        <v>34299.86</v>
      </c>
      <c r="I11" s="95">
        <f t="shared" si="1"/>
        <v>0</v>
      </c>
      <c r="J11" s="71">
        <f>COUNTIF(TabelaDespesas[Rubrica],$K11)+COUNTIF(TabelaDespesas[Rubrica],$A11)+COUNTIF(TabelaDespesas[Rubrica],$A11&amp;".")</f>
        <v>0</v>
      </c>
      <c r="K11" s="79" t="s">
        <v>538</v>
      </c>
      <c r="M11" s="77" t="s">
        <v>540</v>
      </c>
    </row>
    <row r="12" spans="1:13" x14ac:dyDescent="0.3">
      <c r="A12" s="77" t="s">
        <v>25</v>
      </c>
      <c r="B12" t="s">
        <v>17</v>
      </c>
      <c r="C12">
        <v>3</v>
      </c>
      <c r="D12">
        <v>2</v>
      </c>
      <c r="E12" t="s">
        <v>525</v>
      </c>
      <c r="F12" s="91">
        <v>28161.72</v>
      </c>
      <c r="G12" s="91">
        <f>SUMIF(TabelaDespesas[Rubrica],$K12,TabelaDespesas[Valor])+SUMIF(TabelaDespesas[Rubrica],$A12,TabelaDespesas[Valor])+SUMIF(TabelaDespesas[Rubrica],$A12&amp;".",TabelaDespesas[Valor])</f>
        <v>0</v>
      </c>
      <c r="H12" s="91">
        <f t="shared" si="0"/>
        <v>28161.72</v>
      </c>
      <c r="I12" s="78">
        <f t="shared" si="1"/>
        <v>0</v>
      </c>
      <c r="J12">
        <f>COUNTIF(TabelaDespesas[Rubrica],$K12)+COUNTIF(TabelaDespesas[Rubrica],$A12)+COUNTIF(TabelaDespesas[Rubrica],$A12&amp;".")</f>
        <v>0</v>
      </c>
      <c r="K12" s="77" t="s">
        <v>539</v>
      </c>
      <c r="M12" s="77" t="s">
        <v>541</v>
      </c>
    </row>
    <row r="13" spans="1:13" x14ac:dyDescent="0.3">
      <c r="A13" s="77" t="s">
        <v>27</v>
      </c>
      <c r="B13" t="s">
        <v>21</v>
      </c>
      <c r="C13">
        <v>3</v>
      </c>
      <c r="D13">
        <v>2</v>
      </c>
      <c r="E13" t="s">
        <v>525</v>
      </c>
      <c r="F13" s="91">
        <v>4333.0640000000003</v>
      </c>
      <c r="G13" s="91">
        <f>SUMIF(TabelaDespesas[Rubrica],$K13,TabelaDespesas[Valor])+SUMIF(TabelaDespesas[Rubrica],$A13,TabelaDespesas[Valor])+SUMIF(TabelaDespesas[Rubrica],$A13&amp;".",TabelaDespesas[Valor])</f>
        <v>0</v>
      </c>
      <c r="H13" s="91">
        <f t="shared" si="0"/>
        <v>4333.0640000000003</v>
      </c>
      <c r="I13" s="78">
        <f t="shared" si="1"/>
        <v>0</v>
      </c>
      <c r="J13">
        <f>COUNTIF(TabelaDespesas[Rubrica],$K13)+COUNTIF(TabelaDespesas[Rubrica],$A13)+COUNTIF(TabelaDespesas[Rubrica],$A13&amp;".")</f>
        <v>0</v>
      </c>
      <c r="K13" s="77" t="s">
        <v>540</v>
      </c>
      <c r="M13" s="77" t="s">
        <v>543</v>
      </c>
    </row>
    <row r="14" spans="1:13" x14ac:dyDescent="0.3">
      <c r="A14" s="77" t="s">
        <v>33</v>
      </c>
      <c r="B14" t="s">
        <v>22</v>
      </c>
      <c r="C14">
        <v>3</v>
      </c>
      <c r="D14">
        <v>2</v>
      </c>
      <c r="E14" t="s">
        <v>525</v>
      </c>
      <c r="F14" s="91">
        <v>1805.076</v>
      </c>
      <c r="G14" s="91">
        <f>SUMIF(TabelaDespesas[Rubrica],$K14,TabelaDespesas[Valor])+SUMIF(TabelaDespesas[Rubrica],$A14,TabelaDespesas[Valor])+SUMIF(TabelaDespesas[Rubrica],$A14&amp;".",TabelaDespesas[Valor])</f>
        <v>0</v>
      </c>
      <c r="H14" s="91">
        <f t="shared" si="0"/>
        <v>1805.076</v>
      </c>
      <c r="I14" s="78">
        <f t="shared" si="1"/>
        <v>0</v>
      </c>
      <c r="J14">
        <f>COUNTIF(TabelaDespesas[Rubrica],$K14)+COUNTIF(TabelaDespesas[Rubrica],$A14)+COUNTIF(TabelaDespesas[Rubrica],$A14&amp;".")</f>
        <v>0</v>
      </c>
      <c r="K14" s="77" t="s">
        <v>541</v>
      </c>
      <c r="M14" s="77" t="s">
        <v>544</v>
      </c>
    </row>
    <row r="15" spans="1:13" x14ac:dyDescent="0.3">
      <c r="A15" s="79" t="s">
        <v>542</v>
      </c>
      <c r="B15" s="71" t="s">
        <v>24</v>
      </c>
      <c r="C15" s="71">
        <v>4</v>
      </c>
      <c r="D15" s="71">
        <v>1</v>
      </c>
      <c r="E15" s="71" t="s">
        <v>520</v>
      </c>
      <c r="F15" s="73">
        <v>563696.29590000003</v>
      </c>
      <c r="G15" s="73">
        <f>SUMIF(TabelaDespesas[Rubrica],$K15,TabelaDespesas[Valor])+SUMIF(TabelaDespesas[Rubrica],$A15,TabelaDespesas[Valor])+SUMIF(TabelaDespesas[Rubrica],$A15&amp;".",TabelaDespesas[Valor])</f>
        <v>0</v>
      </c>
      <c r="H15" s="73">
        <f t="shared" si="0"/>
        <v>563696.29590000003</v>
      </c>
      <c r="I15" s="95">
        <f t="shared" si="1"/>
        <v>0</v>
      </c>
      <c r="J15" s="71">
        <f>COUNTIF(TabelaDespesas[Rubrica],$K15)+COUNTIF(TabelaDespesas[Rubrica],$A15)+COUNTIF(TabelaDespesas[Rubrica],$A15&amp;".")</f>
        <v>0</v>
      </c>
      <c r="K15" s="79" t="s">
        <v>543</v>
      </c>
      <c r="M15" s="77" t="s">
        <v>546</v>
      </c>
    </row>
    <row r="16" spans="1:13" x14ac:dyDescent="0.3">
      <c r="A16" s="77" t="s">
        <v>47</v>
      </c>
      <c r="B16" t="s">
        <v>26</v>
      </c>
      <c r="C16">
        <v>4</v>
      </c>
      <c r="D16">
        <v>2</v>
      </c>
      <c r="E16" t="s">
        <v>525</v>
      </c>
      <c r="F16" s="91">
        <v>3440.6834000000003</v>
      </c>
      <c r="G16" s="91">
        <f>SUMIF(TabelaDespesas[Rubrica],$K16,TabelaDespesas[Valor])+SUMIF(TabelaDespesas[Rubrica],$A16,TabelaDespesas[Valor])+SUMIF(TabelaDespesas[Rubrica],$A16&amp;".",TabelaDespesas[Valor])</f>
        <v>0</v>
      </c>
      <c r="H16" s="91">
        <f t="shared" si="0"/>
        <v>3440.6834000000003</v>
      </c>
      <c r="I16" s="78">
        <f t="shared" si="1"/>
        <v>0</v>
      </c>
      <c r="J16">
        <f>COUNTIF(TabelaDespesas[Rubrica],$K16)+COUNTIF(TabelaDespesas[Rubrica],$A16)+COUNTIF(TabelaDespesas[Rubrica],$A16&amp;".")</f>
        <v>0</v>
      </c>
      <c r="K16" s="77" t="s">
        <v>544</v>
      </c>
      <c r="M16" s="77" t="s">
        <v>547</v>
      </c>
    </row>
    <row r="17" spans="1:13" x14ac:dyDescent="0.3">
      <c r="A17" s="77" t="s">
        <v>48</v>
      </c>
      <c r="B17" t="s">
        <v>28</v>
      </c>
      <c r="C17">
        <v>4</v>
      </c>
      <c r="D17">
        <v>2</v>
      </c>
      <c r="E17" t="s">
        <v>523</v>
      </c>
      <c r="F17" s="91">
        <v>0</v>
      </c>
      <c r="G17" s="91">
        <f>SUMIF(TabelaDespesas[Rubrica],$K17,TabelaDespesas[Valor])+SUMIF(TabelaDespesas[Rubrica],$A17,TabelaDespesas[Valor])+SUMIF(TabelaDespesas[Rubrica],$A17&amp;".",TabelaDespesas[Valor])</f>
        <v>0</v>
      </c>
      <c r="H17" s="91">
        <f t="shared" si="0"/>
        <v>0</v>
      </c>
      <c r="I17" s="78" t="str">
        <f t="shared" si="1"/>
        <v/>
      </c>
      <c r="J17">
        <f>COUNTIF(TabelaDespesas[Rubrica],$K17)+COUNTIF(TabelaDespesas[Rubrica],$A17)+COUNTIF(TabelaDespesas[Rubrica],$A17&amp;".")</f>
        <v>0</v>
      </c>
      <c r="K17" s="77" t="s">
        <v>545</v>
      </c>
      <c r="M17" s="77" t="s">
        <v>548</v>
      </c>
    </row>
    <row r="18" spans="1:13" x14ac:dyDescent="0.3">
      <c r="A18" s="77" t="s">
        <v>292</v>
      </c>
      <c r="B18" t="s">
        <v>29</v>
      </c>
      <c r="C18">
        <v>4</v>
      </c>
      <c r="D18">
        <v>3</v>
      </c>
      <c r="E18" t="s">
        <v>525</v>
      </c>
      <c r="F18" s="91">
        <v>12686.919</v>
      </c>
      <c r="G18" s="91">
        <f>SUMIF(TabelaDespesas[Rubrica],$K18,TabelaDespesas[Valor])+SUMIF(TabelaDespesas[Rubrica],$A18,TabelaDespesas[Valor])+SUMIF(TabelaDespesas[Rubrica],$A18&amp;".",TabelaDespesas[Valor])</f>
        <v>0</v>
      </c>
      <c r="H18" s="91">
        <f t="shared" si="0"/>
        <v>12686.919</v>
      </c>
      <c r="I18" s="78">
        <f t="shared" si="1"/>
        <v>0</v>
      </c>
      <c r="J18">
        <f>COUNTIF(TabelaDespesas[Rubrica],$K18)+COUNTIF(TabelaDespesas[Rubrica],$A18)+COUNTIF(TabelaDespesas[Rubrica],$A18&amp;".")</f>
        <v>0</v>
      </c>
      <c r="K18" s="77" t="s">
        <v>546</v>
      </c>
      <c r="M18" s="77" t="s">
        <v>549</v>
      </c>
    </row>
    <row r="19" spans="1:13" x14ac:dyDescent="0.3">
      <c r="A19" s="77" t="s">
        <v>293</v>
      </c>
      <c r="B19" t="s">
        <v>30</v>
      </c>
      <c r="C19">
        <v>4</v>
      </c>
      <c r="D19">
        <v>3</v>
      </c>
      <c r="E19" t="s">
        <v>525</v>
      </c>
      <c r="F19" s="91">
        <v>17890.555499999999</v>
      </c>
      <c r="G19" s="91">
        <f>SUMIF(TabelaDespesas[Rubrica],$K19,TabelaDespesas[Valor])+SUMIF(TabelaDespesas[Rubrica],$A19,TabelaDespesas[Valor])+SUMIF(TabelaDespesas[Rubrica],$A19&amp;".",TabelaDespesas[Valor])</f>
        <v>0</v>
      </c>
      <c r="H19" s="91">
        <f t="shared" si="0"/>
        <v>17890.555499999999</v>
      </c>
      <c r="I19" s="78">
        <f t="shared" si="1"/>
        <v>0</v>
      </c>
      <c r="J19">
        <f>COUNTIF(TabelaDespesas[Rubrica],$K19)+COUNTIF(TabelaDespesas[Rubrica],$A19)+COUNTIF(TabelaDespesas[Rubrica],$A19&amp;".")</f>
        <v>0</v>
      </c>
      <c r="K19" s="77" t="s">
        <v>547</v>
      </c>
      <c r="M19" s="77" t="s">
        <v>551</v>
      </c>
    </row>
    <row r="20" spans="1:13" x14ac:dyDescent="0.3">
      <c r="A20" s="77" t="s">
        <v>294</v>
      </c>
      <c r="B20" t="s">
        <v>31</v>
      </c>
      <c r="C20">
        <v>4</v>
      </c>
      <c r="D20">
        <v>3</v>
      </c>
      <c r="E20" t="s">
        <v>525</v>
      </c>
      <c r="F20" s="91">
        <v>3458.4137999999998</v>
      </c>
      <c r="G20" s="91">
        <f>SUMIF(TabelaDespesas[Rubrica],$K20,TabelaDespesas[Valor])+SUMIF(TabelaDespesas[Rubrica],$A20,TabelaDespesas[Valor])+SUMIF(TabelaDespesas[Rubrica],$A20&amp;".",TabelaDespesas[Valor])</f>
        <v>0</v>
      </c>
      <c r="H20" s="91">
        <f t="shared" si="0"/>
        <v>3458.4137999999998</v>
      </c>
      <c r="I20" s="78">
        <f t="shared" si="1"/>
        <v>0</v>
      </c>
      <c r="J20">
        <f>COUNTIF(TabelaDespesas[Rubrica],$K20)+COUNTIF(TabelaDespesas[Rubrica],$A20)+COUNTIF(TabelaDespesas[Rubrica],$A20&amp;".")</f>
        <v>0</v>
      </c>
      <c r="K20" s="77" t="s">
        <v>548</v>
      </c>
      <c r="M20" s="77" t="s">
        <v>552</v>
      </c>
    </row>
    <row r="21" spans="1:13" x14ac:dyDescent="0.3">
      <c r="A21" s="77" t="s">
        <v>295</v>
      </c>
      <c r="B21" t="s">
        <v>32</v>
      </c>
      <c r="C21">
        <v>4</v>
      </c>
      <c r="D21">
        <v>3</v>
      </c>
      <c r="E21" t="s">
        <v>525</v>
      </c>
      <c r="F21" s="91">
        <v>4890.4812000000002</v>
      </c>
      <c r="G21" s="91">
        <f>SUMIF(TabelaDespesas[Rubrica],$K21,TabelaDespesas[Valor])+SUMIF(TabelaDespesas[Rubrica],$A21,TabelaDespesas[Valor])+SUMIF(TabelaDespesas[Rubrica],$A21&amp;".",TabelaDespesas[Valor])</f>
        <v>0</v>
      </c>
      <c r="H21" s="91">
        <f t="shared" si="0"/>
        <v>4890.4812000000002</v>
      </c>
      <c r="I21" s="78">
        <f t="shared" si="1"/>
        <v>0</v>
      </c>
      <c r="J21">
        <f>COUNTIF(TabelaDespesas[Rubrica],$K21)+COUNTIF(TabelaDespesas[Rubrica],$A21)+COUNTIF(TabelaDespesas[Rubrica],$A21&amp;".")</f>
        <v>0</v>
      </c>
      <c r="K21" s="77" t="s">
        <v>549</v>
      </c>
      <c r="M21" s="77" t="s">
        <v>553</v>
      </c>
    </row>
    <row r="22" spans="1:13" x14ac:dyDescent="0.3">
      <c r="A22" s="77" t="s">
        <v>49</v>
      </c>
      <c r="B22" t="s">
        <v>34</v>
      </c>
      <c r="C22">
        <v>4</v>
      </c>
      <c r="D22">
        <v>2</v>
      </c>
      <c r="E22" t="s">
        <v>523</v>
      </c>
      <c r="F22" s="91">
        <v>0</v>
      </c>
      <c r="G22" s="91">
        <f>SUMIF(TabelaDespesas[Rubrica],$K22,TabelaDespesas[Valor])+SUMIF(TabelaDespesas[Rubrica],$A22,TabelaDespesas[Valor])+SUMIF(TabelaDespesas[Rubrica],$A22&amp;".",TabelaDespesas[Valor])</f>
        <v>0</v>
      </c>
      <c r="H22" s="91">
        <f t="shared" si="0"/>
        <v>0</v>
      </c>
      <c r="I22" s="78" t="str">
        <f t="shared" si="1"/>
        <v/>
      </c>
      <c r="J22">
        <f>COUNTIF(TabelaDespesas[Rubrica],$K22)+COUNTIF(TabelaDespesas[Rubrica],$A22)+COUNTIF(TabelaDespesas[Rubrica],$A22&amp;".")</f>
        <v>0</v>
      </c>
      <c r="K22" s="77" t="s">
        <v>550</v>
      </c>
      <c r="M22" s="77" t="s">
        <v>554</v>
      </c>
    </row>
    <row r="23" spans="1:13" x14ac:dyDescent="0.3">
      <c r="A23" s="77" t="s">
        <v>296</v>
      </c>
      <c r="B23" t="s">
        <v>35</v>
      </c>
      <c r="C23">
        <v>4</v>
      </c>
      <c r="D23">
        <v>3</v>
      </c>
      <c r="E23" t="s">
        <v>525</v>
      </c>
      <c r="F23" s="91">
        <v>123300</v>
      </c>
      <c r="G23" s="91">
        <f>SUMIF(TabelaDespesas[Rubrica],$K23,TabelaDespesas[Valor])+SUMIF(TabelaDespesas[Rubrica],$A23,TabelaDespesas[Valor])+SUMIF(TabelaDespesas[Rubrica],$A23&amp;".",TabelaDespesas[Valor])</f>
        <v>0</v>
      </c>
      <c r="H23" s="91">
        <f t="shared" si="0"/>
        <v>123300</v>
      </c>
      <c r="I23" s="78">
        <f t="shared" si="1"/>
        <v>0</v>
      </c>
      <c r="J23">
        <f>COUNTIF(TabelaDespesas[Rubrica],$K23)+COUNTIF(TabelaDespesas[Rubrica],$A23)+COUNTIF(TabelaDespesas[Rubrica],$A23&amp;".")</f>
        <v>0</v>
      </c>
      <c r="K23" s="77" t="s">
        <v>551</v>
      </c>
      <c r="M23" s="77" t="s">
        <v>555</v>
      </c>
    </row>
    <row r="24" spans="1:13" x14ac:dyDescent="0.3">
      <c r="A24" s="77" t="s">
        <v>297</v>
      </c>
      <c r="B24" t="s">
        <v>36</v>
      </c>
      <c r="C24">
        <v>4</v>
      </c>
      <c r="D24">
        <v>3</v>
      </c>
      <c r="E24" t="s">
        <v>525</v>
      </c>
      <c r="F24" s="91">
        <v>58085.494200000001</v>
      </c>
      <c r="G24" s="91">
        <f>SUMIF(TabelaDespesas[Rubrica],$K24,TabelaDespesas[Valor])+SUMIF(TabelaDespesas[Rubrica],$A24,TabelaDespesas[Valor])+SUMIF(TabelaDespesas[Rubrica],$A24&amp;".",TabelaDespesas[Valor])</f>
        <v>0</v>
      </c>
      <c r="H24" s="91">
        <f t="shared" si="0"/>
        <v>58085.494200000001</v>
      </c>
      <c r="I24" s="78">
        <f t="shared" si="1"/>
        <v>0</v>
      </c>
      <c r="J24">
        <f>COUNTIF(TabelaDespesas[Rubrica],$K24)+COUNTIF(TabelaDespesas[Rubrica],$A24)+COUNTIF(TabelaDespesas[Rubrica],$A24&amp;".")</f>
        <v>0</v>
      </c>
      <c r="K24" s="77" t="s">
        <v>552</v>
      </c>
      <c r="M24" s="77" t="s">
        <v>556</v>
      </c>
    </row>
    <row r="25" spans="1:13" x14ac:dyDescent="0.3">
      <c r="A25" s="77" t="s">
        <v>298</v>
      </c>
      <c r="B25" t="s">
        <v>37</v>
      </c>
      <c r="C25">
        <v>4</v>
      </c>
      <c r="D25">
        <v>3</v>
      </c>
      <c r="E25" t="s">
        <v>525</v>
      </c>
      <c r="F25" s="91">
        <v>79079.409499999994</v>
      </c>
      <c r="G25" s="91">
        <f>SUMIF(TabelaDespesas[Rubrica],$K25,TabelaDespesas[Valor])+SUMIF(TabelaDespesas[Rubrica],$A25,TabelaDespesas[Valor])+SUMIF(TabelaDespesas[Rubrica],$A25&amp;".",TabelaDespesas[Valor])</f>
        <v>0</v>
      </c>
      <c r="H25" s="91">
        <f t="shared" si="0"/>
        <v>79079.409499999994</v>
      </c>
      <c r="I25" s="78">
        <f t="shared" si="1"/>
        <v>0</v>
      </c>
      <c r="J25">
        <f>COUNTIF(TabelaDespesas[Rubrica],$K25)+COUNTIF(TabelaDespesas[Rubrica],$A25)+COUNTIF(TabelaDespesas[Rubrica],$A25&amp;".")</f>
        <v>0</v>
      </c>
      <c r="K25" s="77" t="s">
        <v>553</v>
      </c>
      <c r="M25" s="77" t="s">
        <v>558</v>
      </c>
    </row>
    <row r="26" spans="1:13" x14ac:dyDescent="0.3">
      <c r="A26" s="77" t="s">
        <v>299</v>
      </c>
      <c r="B26" t="s">
        <v>38</v>
      </c>
      <c r="C26">
        <v>4</v>
      </c>
      <c r="D26">
        <v>3</v>
      </c>
      <c r="E26" t="s">
        <v>525</v>
      </c>
      <c r="F26" s="91">
        <v>8811.686099999999</v>
      </c>
      <c r="G26" s="91">
        <f>SUMIF(TabelaDespesas[Rubrica],$K26,TabelaDespesas[Valor])+SUMIF(TabelaDespesas[Rubrica],$A26,TabelaDespesas[Valor])+SUMIF(TabelaDespesas[Rubrica],$A26&amp;".",TabelaDespesas[Valor])</f>
        <v>0</v>
      </c>
      <c r="H26" s="91">
        <f t="shared" si="0"/>
        <v>8811.686099999999</v>
      </c>
      <c r="I26" s="78">
        <f t="shared" si="1"/>
        <v>0</v>
      </c>
      <c r="J26">
        <f>COUNTIF(TabelaDespesas[Rubrica],$K26)+COUNTIF(TabelaDespesas[Rubrica],$A26)+COUNTIF(TabelaDespesas[Rubrica],$A26&amp;".")</f>
        <v>0</v>
      </c>
      <c r="K26" s="77" t="s">
        <v>554</v>
      </c>
      <c r="M26" s="77" t="s">
        <v>560</v>
      </c>
    </row>
    <row r="27" spans="1:13" x14ac:dyDescent="0.3">
      <c r="A27" s="77" t="s">
        <v>300</v>
      </c>
      <c r="B27" t="s">
        <v>39</v>
      </c>
      <c r="C27">
        <v>4</v>
      </c>
      <c r="D27">
        <v>3</v>
      </c>
      <c r="E27" t="s">
        <v>525</v>
      </c>
      <c r="F27" s="91">
        <v>222144.05</v>
      </c>
      <c r="G27" s="91">
        <f>SUMIF(TabelaDespesas[Rubrica],$K27,TabelaDespesas[Valor])+SUMIF(TabelaDespesas[Rubrica],$A27,TabelaDespesas[Valor])+SUMIF(TabelaDespesas[Rubrica],$A27&amp;".",TabelaDespesas[Valor])</f>
        <v>0</v>
      </c>
      <c r="H27" s="91">
        <f t="shared" si="0"/>
        <v>222144.05</v>
      </c>
      <c r="I27" s="78">
        <f t="shared" si="1"/>
        <v>0</v>
      </c>
      <c r="J27">
        <f>COUNTIF(TabelaDespesas[Rubrica],$K27)+COUNTIF(TabelaDespesas[Rubrica],$A27)+COUNTIF(TabelaDespesas[Rubrica],$A27&amp;".")</f>
        <v>0</v>
      </c>
      <c r="K27" s="77" t="s">
        <v>555</v>
      </c>
      <c r="M27" s="77" t="s">
        <v>561</v>
      </c>
    </row>
    <row r="28" spans="1:13" x14ac:dyDescent="0.3">
      <c r="A28" s="77" t="s">
        <v>50</v>
      </c>
      <c r="B28" t="s">
        <v>41</v>
      </c>
      <c r="C28">
        <v>4</v>
      </c>
      <c r="D28">
        <v>2</v>
      </c>
      <c r="E28" t="s">
        <v>525</v>
      </c>
      <c r="F28" s="91">
        <v>29446.644799999998</v>
      </c>
      <c r="G28" s="91">
        <f>SUMIF(TabelaDespesas[Rubrica],$K28,TabelaDespesas[Valor])+SUMIF(TabelaDespesas[Rubrica],$A28,TabelaDespesas[Valor])+SUMIF(TabelaDespesas[Rubrica],$A28&amp;".",TabelaDespesas[Valor])</f>
        <v>0</v>
      </c>
      <c r="H28" s="91">
        <f t="shared" si="0"/>
        <v>29446.644799999998</v>
      </c>
      <c r="I28" s="78">
        <f t="shared" si="1"/>
        <v>0</v>
      </c>
      <c r="J28">
        <f>COUNTIF(TabelaDespesas[Rubrica],$K28)+COUNTIF(TabelaDespesas[Rubrica],$A28)+COUNTIF(TabelaDespesas[Rubrica],$A28&amp;".")</f>
        <v>0</v>
      </c>
      <c r="K28" s="77" t="s">
        <v>556</v>
      </c>
      <c r="M28" s="77" t="s">
        <v>562</v>
      </c>
    </row>
    <row r="29" spans="1:13" x14ac:dyDescent="0.3">
      <c r="A29" s="77" t="s">
        <v>51</v>
      </c>
      <c r="B29" t="s">
        <v>43</v>
      </c>
      <c r="C29">
        <v>4</v>
      </c>
      <c r="D29">
        <v>2</v>
      </c>
      <c r="E29" t="s">
        <v>523</v>
      </c>
      <c r="F29" s="91">
        <v>0</v>
      </c>
      <c r="G29" s="91">
        <f>SUMIF(TabelaDespesas[Rubrica],$K29,TabelaDespesas[Valor])+SUMIF(TabelaDespesas[Rubrica],$A29,TabelaDespesas[Valor])+SUMIF(TabelaDespesas[Rubrica],$A29&amp;".",TabelaDespesas[Valor])</f>
        <v>0</v>
      </c>
      <c r="H29" s="91">
        <f t="shared" si="0"/>
        <v>0</v>
      </c>
      <c r="I29" s="78" t="str">
        <f t="shared" si="1"/>
        <v/>
      </c>
      <c r="J29">
        <f>COUNTIF(TabelaDespesas[Rubrica],$K29)+COUNTIF(TabelaDespesas[Rubrica],$A29)+COUNTIF(TabelaDespesas[Rubrica],$A29&amp;".")</f>
        <v>0</v>
      </c>
      <c r="K29" s="77" t="s">
        <v>557</v>
      </c>
      <c r="M29" s="77" t="s">
        <v>563</v>
      </c>
    </row>
    <row r="30" spans="1:13" x14ac:dyDescent="0.3">
      <c r="A30" s="77" t="s">
        <v>301</v>
      </c>
      <c r="B30" t="s">
        <v>44</v>
      </c>
      <c r="C30">
        <v>4</v>
      </c>
      <c r="D30">
        <v>3</v>
      </c>
      <c r="E30" t="s">
        <v>525</v>
      </c>
      <c r="F30" s="91">
        <v>461.95839999999998</v>
      </c>
      <c r="G30" s="91">
        <f>SUMIF(TabelaDespesas[Rubrica],$K30,TabelaDespesas[Valor])+SUMIF(TabelaDespesas[Rubrica],$A30,TabelaDespesas[Valor])+SUMIF(TabelaDespesas[Rubrica],$A30&amp;".",TabelaDespesas[Valor])</f>
        <v>0</v>
      </c>
      <c r="H30" s="91">
        <f t="shared" si="0"/>
        <v>461.95839999999998</v>
      </c>
      <c r="I30" s="78">
        <f t="shared" si="1"/>
        <v>0</v>
      </c>
      <c r="J30">
        <f>COUNTIF(TabelaDespesas[Rubrica],$K30)+COUNTIF(TabelaDespesas[Rubrica],$A30)+COUNTIF(TabelaDespesas[Rubrica],$A30&amp;".")</f>
        <v>0</v>
      </c>
      <c r="K30" s="77" t="s">
        <v>558</v>
      </c>
      <c r="M30" s="77" t="s">
        <v>564</v>
      </c>
    </row>
    <row r="31" spans="1:13" x14ac:dyDescent="0.3">
      <c r="A31" s="79" t="s">
        <v>559</v>
      </c>
      <c r="B31" s="71" t="s">
        <v>46</v>
      </c>
      <c r="C31" s="71">
        <v>5</v>
      </c>
      <c r="D31" s="71">
        <v>1</v>
      </c>
      <c r="E31" s="71" t="s">
        <v>520</v>
      </c>
      <c r="F31" s="73">
        <v>111400.77849999999</v>
      </c>
      <c r="G31" s="73">
        <f>SUMIF(TabelaDespesas[Rubrica],$K31,TabelaDespesas[Valor])+SUMIF(TabelaDespesas[Rubrica],$A31,TabelaDespesas[Valor])+SUMIF(TabelaDespesas[Rubrica],$A31&amp;".",TabelaDespesas[Valor])</f>
        <v>0</v>
      </c>
      <c r="H31" s="73">
        <f t="shared" si="0"/>
        <v>111400.77849999999</v>
      </c>
      <c r="I31" s="95">
        <f t="shared" si="1"/>
        <v>0</v>
      </c>
      <c r="J31" s="71">
        <f>COUNTIF(TabelaDespesas[Rubrica],$K31)+COUNTIF(TabelaDespesas[Rubrica],$A31)+COUNTIF(TabelaDespesas[Rubrica],$A31&amp;".")</f>
        <v>0</v>
      </c>
      <c r="K31" s="79" t="s">
        <v>560</v>
      </c>
      <c r="M31" s="77" t="s">
        <v>565</v>
      </c>
    </row>
    <row r="32" spans="1:13" x14ac:dyDescent="0.3">
      <c r="A32" s="77" t="s">
        <v>60</v>
      </c>
      <c r="B32" t="s">
        <v>52</v>
      </c>
      <c r="C32">
        <v>5</v>
      </c>
      <c r="D32">
        <v>2</v>
      </c>
      <c r="E32" t="s">
        <v>525</v>
      </c>
      <c r="F32" s="91">
        <v>56797.441999999995</v>
      </c>
      <c r="G32" s="91">
        <f>SUMIF(TabelaDespesas[Rubrica],$K32,TabelaDespesas[Valor])+SUMIF(TabelaDespesas[Rubrica],$A32,TabelaDespesas[Valor])+SUMIF(TabelaDespesas[Rubrica],$A32&amp;".",TabelaDespesas[Valor])</f>
        <v>0</v>
      </c>
      <c r="H32" s="91">
        <f t="shared" si="0"/>
        <v>56797.441999999995</v>
      </c>
      <c r="I32" s="78">
        <f t="shared" si="1"/>
        <v>0</v>
      </c>
      <c r="J32">
        <f>COUNTIF(TabelaDespesas[Rubrica],$K32)+COUNTIF(TabelaDespesas[Rubrica],$A32)+COUNTIF(TabelaDespesas[Rubrica],$A32&amp;".")</f>
        <v>0</v>
      </c>
      <c r="K32" s="77" t="s">
        <v>561</v>
      </c>
      <c r="M32" s="77" t="s">
        <v>566</v>
      </c>
    </row>
    <row r="33" spans="1:13" x14ac:dyDescent="0.3">
      <c r="A33" s="77" t="s">
        <v>61</v>
      </c>
      <c r="B33" t="s">
        <v>53</v>
      </c>
      <c r="C33">
        <v>5</v>
      </c>
      <c r="D33">
        <v>2</v>
      </c>
      <c r="E33" t="s">
        <v>525</v>
      </c>
      <c r="F33" s="91">
        <v>10940.269</v>
      </c>
      <c r="G33" s="91">
        <f>SUMIF(TabelaDespesas[Rubrica],$K33,TabelaDespesas[Valor])+SUMIF(TabelaDespesas[Rubrica],$A33,TabelaDespesas[Valor])+SUMIF(TabelaDespesas[Rubrica],$A33&amp;".",TabelaDespesas[Valor])</f>
        <v>0</v>
      </c>
      <c r="H33" s="91">
        <f t="shared" si="0"/>
        <v>10940.269</v>
      </c>
      <c r="I33" s="78">
        <f t="shared" si="1"/>
        <v>0</v>
      </c>
      <c r="J33">
        <f>COUNTIF(TabelaDespesas[Rubrica],$K33)+COUNTIF(TabelaDespesas[Rubrica],$A33)+COUNTIF(TabelaDespesas[Rubrica],$A33&amp;".")</f>
        <v>0</v>
      </c>
      <c r="K33" s="77" t="s">
        <v>562</v>
      </c>
      <c r="M33" s="77" t="s">
        <v>568</v>
      </c>
    </row>
    <row r="34" spans="1:13" x14ac:dyDescent="0.3">
      <c r="A34" s="77" t="s">
        <v>63</v>
      </c>
      <c r="B34" t="s">
        <v>54</v>
      </c>
      <c r="C34">
        <v>5</v>
      </c>
      <c r="D34">
        <v>2</v>
      </c>
      <c r="E34" t="s">
        <v>525</v>
      </c>
      <c r="F34" s="91">
        <v>149.17850000000001</v>
      </c>
      <c r="G34" s="91">
        <f>SUMIF(TabelaDespesas[Rubrica],$K34,TabelaDespesas[Valor])+SUMIF(TabelaDespesas[Rubrica],$A34,TabelaDespesas[Valor])+SUMIF(TabelaDespesas[Rubrica],$A34&amp;".",TabelaDespesas[Valor])</f>
        <v>0</v>
      </c>
      <c r="H34" s="91">
        <f t="shared" ref="H34:H65" si="2">F34-G34</f>
        <v>149.17850000000001</v>
      </c>
      <c r="I34" s="78">
        <f t="shared" ref="I34:I65" si="3">IF(F34=0,"",G34/F34)</f>
        <v>0</v>
      </c>
      <c r="J34">
        <f>COUNTIF(TabelaDespesas[Rubrica],$K34)+COUNTIF(TabelaDespesas[Rubrica],$A34)+COUNTIF(TabelaDespesas[Rubrica],$A34&amp;".")</f>
        <v>0</v>
      </c>
      <c r="K34" s="77" t="s">
        <v>563</v>
      </c>
      <c r="M34" s="77" t="s">
        <v>570</v>
      </c>
    </row>
    <row r="35" spans="1:13" x14ac:dyDescent="0.3">
      <c r="A35" s="77" t="s">
        <v>65</v>
      </c>
      <c r="B35" t="s">
        <v>55</v>
      </c>
      <c r="C35">
        <v>5</v>
      </c>
      <c r="D35">
        <v>2</v>
      </c>
      <c r="E35" t="s">
        <v>525</v>
      </c>
      <c r="F35" s="91">
        <v>34648.353999999999</v>
      </c>
      <c r="G35" s="91">
        <f>SUMIF(TabelaDespesas[Rubrica],$K35,TabelaDespesas[Valor])+SUMIF(TabelaDespesas[Rubrica],$A35,TabelaDespesas[Valor])+SUMIF(TabelaDespesas[Rubrica],$A35&amp;".",TabelaDespesas[Valor])</f>
        <v>0</v>
      </c>
      <c r="H35" s="91">
        <f t="shared" si="2"/>
        <v>34648.353999999999</v>
      </c>
      <c r="I35" s="78">
        <f t="shared" si="3"/>
        <v>0</v>
      </c>
      <c r="J35">
        <f>COUNTIF(TabelaDespesas[Rubrica],$K35)+COUNTIF(TabelaDespesas[Rubrica],$A35)+COUNTIF(TabelaDespesas[Rubrica],$A35&amp;".")</f>
        <v>0</v>
      </c>
      <c r="K35" s="77" t="s">
        <v>564</v>
      </c>
      <c r="M35" s="77" t="s">
        <v>571</v>
      </c>
    </row>
    <row r="36" spans="1:13" x14ac:dyDescent="0.3">
      <c r="A36" s="77" t="s">
        <v>71</v>
      </c>
      <c r="B36" t="s">
        <v>56</v>
      </c>
      <c r="C36">
        <v>5</v>
      </c>
      <c r="D36">
        <v>2</v>
      </c>
      <c r="E36" t="s">
        <v>525</v>
      </c>
      <c r="F36" s="91">
        <v>216.89499999999998</v>
      </c>
      <c r="G36" s="91">
        <f>SUMIF(TabelaDespesas[Rubrica],$K36,TabelaDespesas[Valor])+SUMIF(TabelaDespesas[Rubrica],$A36,TabelaDespesas[Valor])+SUMIF(TabelaDespesas[Rubrica],$A36&amp;".",TabelaDespesas[Valor])</f>
        <v>0</v>
      </c>
      <c r="H36" s="91">
        <f t="shared" si="2"/>
        <v>216.89499999999998</v>
      </c>
      <c r="I36" s="78">
        <f t="shared" si="3"/>
        <v>0</v>
      </c>
      <c r="J36">
        <f>COUNTIF(TabelaDespesas[Rubrica],$K36)+COUNTIF(TabelaDespesas[Rubrica],$A36)+COUNTIF(TabelaDespesas[Rubrica],$A36&amp;".")</f>
        <v>0</v>
      </c>
      <c r="K36" s="77" t="s">
        <v>565</v>
      </c>
      <c r="M36" s="77" t="s">
        <v>572</v>
      </c>
    </row>
    <row r="37" spans="1:13" x14ac:dyDescent="0.3">
      <c r="A37" s="77" t="s">
        <v>302</v>
      </c>
      <c r="B37" t="s">
        <v>57</v>
      </c>
      <c r="C37">
        <v>5</v>
      </c>
      <c r="D37">
        <v>2</v>
      </c>
      <c r="E37" t="s">
        <v>525</v>
      </c>
      <c r="F37" s="91">
        <v>8648.64</v>
      </c>
      <c r="G37" s="91">
        <f>SUMIF(TabelaDespesas[Rubrica],$K37,TabelaDespesas[Valor])+SUMIF(TabelaDespesas[Rubrica],$A37,TabelaDespesas[Valor])+SUMIF(TabelaDespesas[Rubrica],$A37&amp;".",TabelaDespesas[Valor])</f>
        <v>0</v>
      </c>
      <c r="H37" s="91">
        <f t="shared" si="2"/>
        <v>8648.64</v>
      </c>
      <c r="I37" s="78">
        <f t="shared" si="3"/>
        <v>0</v>
      </c>
      <c r="J37">
        <f>COUNTIF(TabelaDespesas[Rubrica],$K37)+COUNTIF(TabelaDespesas[Rubrica],$A37)+COUNTIF(TabelaDespesas[Rubrica],$A37&amp;".")</f>
        <v>0</v>
      </c>
      <c r="K37" s="77" t="s">
        <v>566</v>
      </c>
      <c r="M37" s="77" t="s">
        <v>574</v>
      </c>
    </row>
    <row r="38" spans="1:13" x14ac:dyDescent="0.3">
      <c r="A38" s="79" t="s">
        <v>567</v>
      </c>
      <c r="B38" s="71" t="s">
        <v>59</v>
      </c>
      <c r="C38" s="71">
        <v>6</v>
      </c>
      <c r="D38" s="71">
        <v>1</v>
      </c>
      <c r="E38" s="71" t="s">
        <v>520</v>
      </c>
      <c r="F38" s="73">
        <v>154438.14369999999</v>
      </c>
      <c r="G38" s="73">
        <f>SUMIF(TabelaDespesas[Rubrica],$K38,TabelaDespesas[Valor])+SUMIF(TabelaDespesas[Rubrica],$A38,TabelaDespesas[Valor])+SUMIF(TabelaDespesas[Rubrica],$A38&amp;".",TabelaDespesas[Valor])</f>
        <v>0</v>
      </c>
      <c r="H38" s="73">
        <f t="shared" si="2"/>
        <v>154438.14369999999</v>
      </c>
      <c r="I38" s="95">
        <f t="shared" si="3"/>
        <v>0</v>
      </c>
      <c r="J38" s="71">
        <f>COUNTIF(TabelaDespesas[Rubrica],$K38)+COUNTIF(TabelaDespesas[Rubrica],$A38)+COUNTIF(TabelaDespesas[Rubrica],$A38&amp;".")</f>
        <v>0</v>
      </c>
      <c r="K38" s="79" t="s">
        <v>568</v>
      </c>
      <c r="M38" s="77" t="s">
        <v>575</v>
      </c>
    </row>
    <row r="39" spans="1:13" x14ac:dyDescent="0.3">
      <c r="A39" s="77" t="s">
        <v>74</v>
      </c>
      <c r="B39" t="s">
        <v>569</v>
      </c>
      <c r="C39">
        <v>6</v>
      </c>
      <c r="D39">
        <v>2</v>
      </c>
      <c r="E39" t="s">
        <v>525</v>
      </c>
      <c r="F39" s="91">
        <v>8430.1551999999992</v>
      </c>
      <c r="G39" s="91">
        <f>SUMIF(TabelaDespesas[Rubrica],$K39,TabelaDespesas[Valor])+SUMIF(TabelaDespesas[Rubrica],$A39,TabelaDespesas[Valor])+SUMIF(TabelaDespesas[Rubrica],$A39&amp;".",TabelaDespesas[Valor])</f>
        <v>0</v>
      </c>
      <c r="H39" s="91">
        <f t="shared" si="2"/>
        <v>8430.1551999999992</v>
      </c>
      <c r="I39" s="78">
        <f t="shared" si="3"/>
        <v>0</v>
      </c>
      <c r="J39">
        <f>COUNTIF(TabelaDespesas[Rubrica],$K39)+COUNTIF(TabelaDespesas[Rubrica],$A39)+COUNTIF(TabelaDespesas[Rubrica],$A39&amp;".")</f>
        <v>0</v>
      </c>
      <c r="K39" s="77" t="s">
        <v>570</v>
      </c>
      <c r="M39" s="77" t="s">
        <v>576</v>
      </c>
    </row>
    <row r="40" spans="1:13" x14ac:dyDescent="0.3">
      <c r="A40" s="77" t="s">
        <v>76</v>
      </c>
      <c r="B40" t="s">
        <v>62</v>
      </c>
      <c r="C40">
        <v>6</v>
      </c>
      <c r="D40">
        <v>2</v>
      </c>
      <c r="E40" t="s">
        <v>525</v>
      </c>
      <c r="F40" s="91">
        <v>2138.9250000000002</v>
      </c>
      <c r="G40" s="91">
        <f>SUMIF(TabelaDespesas[Rubrica],$K40,TabelaDespesas[Valor])+SUMIF(TabelaDespesas[Rubrica],$A40,TabelaDespesas[Valor])+SUMIF(TabelaDespesas[Rubrica],$A40&amp;".",TabelaDespesas[Valor])</f>
        <v>0</v>
      </c>
      <c r="H40" s="91">
        <f t="shared" si="2"/>
        <v>2138.9250000000002</v>
      </c>
      <c r="I40" s="78">
        <f t="shared" si="3"/>
        <v>0</v>
      </c>
      <c r="J40">
        <f>COUNTIF(TabelaDespesas[Rubrica],$K40)+COUNTIF(TabelaDespesas[Rubrica],$A40)+COUNTIF(TabelaDespesas[Rubrica],$A40&amp;".")</f>
        <v>0</v>
      </c>
      <c r="K40" s="77" t="s">
        <v>571</v>
      </c>
      <c r="M40" s="77" t="s">
        <v>577</v>
      </c>
    </row>
    <row r="41" spans="1:13" x14ac:dyDescent="0.3">
      <c r="A41" s="77" t="s">
        <v>79</v>
      </c>
      <c r="B41" t="s">
        <v>64</v>
      </c>
      <c r="C41">
        <v>6</v>
      </c>
      <c r="D41">
        <v>2</v>
      </c>
      <c r="E41" t="s">
        <v>525</v>
      </c>
      <c r="F41" s="91">
        <v>113404.0935</v>
      </c>
      <c r="G41" s="91">
        <f>SUMIF(TabelaDespesas[Rubrica],$K41,TabelaDespesas[Valor])+SUMIF(TabelaDespesas[Rubrica],$A41,TabelaDespesas[Valor])+SUMIF(TabelaDespesas[Rubrica],$A41&amp;".",TabelaDespesas[Valor])</f>
        <v>0</v>
      </c>
      <c r="H41" s="91">
        <f t="shared" si="2"/>
        <v>113404.0935</v>
      </c>
      <c r="I41" s="78">
        <f t="shared" si="3"/>
        <v>0</v>
      </c>
      <c r="J41">
        <f>COUNTIF(TabelaDespesas[Rubrica],$K41)+COUNTIF(TabelaDespesas[Rubrica],$A41)+COUNTIF(TabelaDespesas[Rubrica],$A41&amp;".")</f>
        <v>0</v>
      </c>
      <c r="K41" s="77" t="s">
        <v>572</v>
      </c>
      <c r="M41" s="77" t="s">
        <v>579</v>
      </c>
    </row>
    <row r="42" spans="1:13" x14ac:dyDescent="0.3">
      <c r="A42" s="77" t="s">
        <v>303</v>
      </c>
      <c r="B42" t="s">
        <v>66</v>
      </c>
      <c r="C42">
        <v>6</v>
      </c>
      <c r="D42">
        <v>2</v>
      </c>
      <c r="E42" t="s">
        <v>523</v>
      </c>
      <c r="F42" s="91">
        <v>0</v>
      </c>
      <c r="G42" s="91">
        <f>SUMIF(TabelaDespesas[Rubrica],$K42,TabelaDespesas[Valor])+SUMIF(TabelaDespesas[Rubrica],$A42,TabelaDespesas[Valor])+SUMIF(TabelaDespesas[Rubrica],$A42&amp;".",TabelaDespesas[Valor])</f>
        <v>0</v>
      </c>
      <c r="H42" s="91">
        <f t="shared" si="2"/>
        <v>0</v>
      </c>
      <c r="I42" s="78" t="str">
        <f t="shared" si="3"/>
        <v/>
      </c>
      <c r="J42">
        <f>COUNTIF(TabelaDespesas[Rubrica],$K42)+COUNTIF(TabelaDespesas[Rubrica],$A42)+COUNTIF(TabelaDespesas[Rubrica],$A42&amp;".")</f>
        <v>0</v>
      </c>
      <c r="K42" s="77" t="s">
        <v>573</v>
      </c>
      <c r="M42" s="77" t="s">
        <v>580</v>
      </c>
    </row>
    <row r="43" spans="1:13" x14ac:dyDescent="0.3">
      <c r="A43" s="77" t="s">
        <v>304</v>
      </c>
      <c r="B43" t="s">
        <v>67</v>
      </c>
      <c r="C43">
        <v>6</v>
      </c>
      <c r="D43">
        <v>3</v>
      </c>
      <c r="E43" t="s">
        <v>525</v>
      </c>
      <c r="F43" s="91">
        <v>1316.182</v>
      </c>
      <c r="G43" s="91">
        <f>SUMIF(TabelaDespesas[Rubrica],$K43,TabelaDespesas[Valor])+SUMIF(TabelaDespesas[Rubrica],$A43,TabelaDespesas[Valor])+SUMIF(TabelaDespesas[Rubrica],$A43&amp;".",TabelaDespesas[Valor])</f>
        <v>0</v>
      </c>
      <c r="H43" s="91">
        <f t="shared" si="2"/>
        <v>1316.182</v>
      </c>
      <c r="I43" s="78">
        <f t="shared" si="3"/>
        <v>0</v>
      </c>
      <c r="J43">
        <f>COUNTIF(TabelaDespesas[Rubrica],$K43)+COUNTIF(TabelaDespesas[Rubrica],$A43)+COUNTIF(TabelaDespesas[Rubrica],$A43&amp;".")</f>
        <v>0</v>
      </c>
      <c r="K43" s="77" t="s">
        <v>574</v>
      </c>
      <c r="M43" s="77" t="s">
        <v>581</v>
      </c>
    </row>
    <row r="44" spans="1:13" x14ac:dyDescent="0.3">
      <c r="A44" s="77" t="s">
        <v>305</v>
      </c>
      <c r="B44" t="s">
        <v>68</v>
      </c>
      <c r="C44">
        <v>6</v>
      </c>
      <c r="D44">
        <v>3</v>
      </c>
      <c r="E44" t="s">
        <v>525</v>
      </c>
      <c r="F44" s="91">
        <v>20536.108</v>
      </c>
      <c r="G44" s="91">
        <f>SUMIF(TabelaDespesas[Rubrica],$K44,TabelaDespesas[Valor])+SUMIF(TabelaDespesas[Rubrica],$A44,TabelaDespesas[Valor])+SUMIF(TabelaDespesas[Rubrica],$A44&amp;".",TabelaDespesas[Valor])</f>
        <v>0</v>
      </c>
      <c r="H44" s="91">
        <f t="shared" si="2"/>
        <v>20536.108</v>
      </c>
      <c r="I44" s="78">
        <f t="shared" si="3"/>
        <v>0</v>
      </c>
      <c r="J44">
        <f>COUNTIF(TabelaDespesas[Rubrica],$K44)+COUNTIF(TabelaDespesas[Rubrica],$A44)+COUNTIF(TabelaDespesas[Rubrica],$A44&amp;".")</f>
        <v>0</v>
      </c>
      <c r="K44" s="77" t="s">
        <v>575</v>
      </c>
      <c r="M44" s="77" t="s">
        <v>582</v>
      </c>
    </row>
    <row r="45" spans="1:13" x14ac:dyDescent="0.3">
      <c r="A45" s="77" t="s">
        <v>306</v>
      </c>
      <c r="B45" t="s">
        <v>69</v>
      </c>
      <c r="C45">
        <v>6</v>
      </c>
      <c r="D45">
        <v>3</v>
      </c>
      <c r="E45" t="s">
        <v>525</v>
      </c>
      <c r="F45" s="91">
        <v>1572.4</v>
      </c>
      <c r="G45" s="91">
        <f>SUMIF(TabelaDespesas[Rubrica],$K45,TabelaDespesas[Valor])+SUMIF(TabelaDespesas[Rubrica],$A45,TabelaDespesas[Valor])+SUMIF(TabelaDespesas[Rubrica],$A45&amp;".",TabelaDespesas[Valor])</f>
        <v>0</v>
      </c>
      <c r="H45" s="91">
        <f t="shared" si="2"/>
        <v>1572.4</v>
      </c>
      <c r="I45" s="78">
        <f t="shared" si="3"/>
        <v>0</v>
      </c>
      <c r="J45">
        <f>COUNTIF(TabelaDespesas[Rubrica],$K45)+COUNTIF(TabelaDespesas[Rubrica],$A45)+COUNTIF(TabelaDespesas[Rubrica],$A45&amp;".")</f>
        <v>0</v>
      </c>
      <c r="K45" s="77" t="s">
        <v>576</v>
      </c>
      <c r="M45" s="77" t="s">
        <v>584</v>
      </c>
    </row>
    <row r="46" spans="1:13" x14ac:dyDescent="0.3">
      <c r="A46" s="77" t="s">
        <v>307</v>
      </c>
      <c r="B46" t="s">
        <v>70</v>
      </c>
      <c r="C46">
        <v>6</v>
      </c>
      <c r="D46">
        <v>2</v>
      </c>
      <c r="E46" t="s">
        <v>525</v>
      </c>
      <c r="F46" s="91">
        <v>7040.2800000000007</v>
      </c>
      <c r="G46" s="91">
        <f>SUMIF(TabelaDespesas[Rubrica],$K46,TabelaDespesas[Valor])+SUMIF(TabelaDespesas[Rubrica],$A46,TabelaDespesas[Valor])+SUMIF(TabelaDespesas[Rubrica],$A46&amp;".",TabelaDespesas[Valor])</f>
        <v>0</v>
      </c>
      <c r="H46" s="91">
        <f t="shared" si="2"/>
        <v>7040.2800000000007</v>
      </c>
      <c r="I46" s="78">
        <f t="shared" si="3"/>
        <v>0</v>
      </c>
      <c r="J46">
        <f>COUNTIF(TabelaDespesas[Rubrica],$K46)+COUNTIF(TabelaDespesas[Rubrica],$A46)+COUNTIF(TabelaDespesas[Rubrica],$A46&amp;".")</f>
        <v>0</v>
      </c>
      <c r="K46" s="77" t="s">
        <v>577</v>
      </c>
      <c r="M46" s="77" t="s">
        <v>585</v>
      </c>
    </row>
    <row r="47" spans="1:13" x14ac:dyDescent="0.3">
      <c r="A47" s="79" t="s">
        <v>578</v>
      </c>
      <c r="B47" s="71" t="s">
        <v>73</v>
      </c>
      <c r="C47" s="71">
        <v>7</v>
      </c>
      <c r="D47" s="71">
        <v>1</v>
      </c>
      <c r="E47" s="71" t="s">
        <v>520</v>
      </c>
      <c r="F47" s="73">
        <v>16466.201499999999</v>
      </c>
      <c r="G47" s="73">
        <f>SUMIF(TabelaDespesas[Rubrica],$K47,TabelaDespesas[Valor])+SUMIF(TabelaDespesas[Rubrica],$A47,TabelaDespesas[Valor])+SUMIF(TabelaDespesas[Rubrica],$A47&amp;".",TabelaDespesas[Valor])</f>
        <v>0</v>
      </c>
      <c r="H47" s="73">
        <f t="shared" si="2"/>
        <v>16466.201499999999</v>
      </c>
      <c r="I47" s="95">
        <f t="shared" si="3"/>
        <v>0</v>
      </c>
      <c r="J47" s="71">
        <f>COUNTIF(TabelaDespesas[Rubrica],$K47)+COUNTIF(TabelaDespesas[Rubrica],$A47)+COUNTIF(TabelaDespesas[Rubrica],$A47&amp;".")</f>
        <v>0</v>
      </c>
      <c r="K47" s="79" t="s">
        <v>579</v>
      </c>
      <c r="M47" s="77" t="s">
        <v>586</v>
      </c>
    </row>
    <row r="48" spans="1:13" x14ac:dyDescent="0.3">
      <c r="A48" s="77" t="s">
        <v>84</v>
      </c>
      <c r="B48" t="s">
        <v>75</v>
      </c>
      <c r="C48">
        <v>7</v>
      </c>
      <c r="D48">
        <v>2</v>
      </c>
      <c r="E48" t="s">
        <v>525</v>
      </c>
      <c r="F48" s="91">
        <v>719.15359999999998</v>
      </c>
      <c r="G48" s="91">
        <f>SUMIF(TabelaDespesas[Rubrica],$K48,TabelaDespesas[Valor])+SUMIF(TabelaDespesas[Rubrica],$A48,TabelaDespesas[Valor])+SUMIF(TabelaDespesas[Rubrica],$A48&amp;".",TabelaDespesas[Valor])</f>
        <v>0</v>
      </c>
      <c r="H48" s="91">
        <f t="shared" si="2"/>
        <v>719.15359999999998</v>
      </c>
      <c r="I48" s="78">
        <f t="shared" si="3"/>
        <v>0</v>
      </c>
      <c r="J48">
        <f>COUNTIF(TabelaDespesas[Rubrica],$K48)+COUNTIF(TabelaDespesas[Rubrica],$A48)+COUNTIF(TabelaDespesas[Rubrica],$A48&amp;".")</f>
        <v>0</v>
      </c>
      <c r="K48" s="77" t="s">
        <v>580</v>
      </c>
      <c r="M48" s="77" t="s">
        <v>587</v>
      </c>
    </row>
    <row r="49" spans="1:13" x14ac:dyDescent="0.3">
      <c r="A49" s="77" t="s">
        <v>86</v>
      </c>
      <c r="B49" t="s">
        <v>77</v>
      </c>
      <c r="C49">
        <v>7</v>
      </c>
      <c r="D49">
        <v>2</v>
      </c>
      <c r="E49" t="s">
        <v>525</v>
      </c>
      <c r="F49" s="91">
        <v>8513.3474999999999</v>
      </c>
      <c r="G49" s="91">
        <f>SUMIF(TabelaDespesas[Rubrica],$K49,TabelaDespesas[Valor])+SUMIF(TabelaDespesas[Rubrica],$A49,TabelaDespesas[Valor])+SUMIF(TabelaDespesas[Rubrica],$A49&amp;".",TabelaDespesas[Valor])</f>
        <v>0</v>
      </c>
      <c r="H49" s="91">
        <f t="shared" si="2"/>
        <v>8513.3474999999999</v>
      </c>
      <c r="I49" s="78">
        <f t="shared" si="3"/>
        <v>0</v>
      </c>
      <c r="J49">
        <f>COUNTIF(TabelaDespesas[Rubrica],$K49)+COUNTIF(TabelaDespesas[Rubrica],$A49)+COUNTIF(TabelaDespesas[Rubrica],$A49&amp;".")</f>
        <v>0</v>
      </c>
      <c r="K49" s="77" t="s">
        <v>581</v>
      </c>
      <c r="M49" s="77" t="s">
        <v>589</v>
      </c>
    </row>
    <row r="50" spans="1:13" x14ac:dyDescent="0.3">
      <c r="A50" s="77" t="s">
        <v>88</v>
      </c>
      <c r="B50" t="s">
        <v>80</v>
      </c>
      <c r="C50">
        <v>7</v>
      </c>
      <c r="D50">
        <v>2</v>
      </c>
      <c r="E50" t="s">
        <v>525</v>
      </c>
      <c r="F50" s="91">
        <v>7233.7003999999997</v>
      </c>
      <c r="G50" s="91">
        <f>SUMIF(TabelaDespesas[Rubrica],$K50,TabelaDespesas[Valor])+SUMIF(TabelaDespesas[Rubrica],$A50,TabelaDespesas[Valor])+SUMIF(TabelaDespesas[Rubrica],$A50&amp;".",TabelaDespesas[Valor])</f>
        <v>0</v>
      </c>
      <c r="H50" s="91">
        <f t="shared" si="2"/>
        <v>7233.7003999999997</v>
      </c>
      <c r="I50" s="78">
        <f t="shared" si="3"/>
        <v>0</v>
      </c>
      <c r="J50">
        <f>COUNTIF(TabelaDespesas[Rubrica],$K50)+COUNTIF(TabelaDespesas[Rubrica],$A50)+COUNTIF(TabelaDespesas[Rubrica],$A50&amp;".")</f>
        <v>0</v>
      </c>
      <c r="K50" s="77" t="s">
        <v>582</v>
      </c>
      <c r="M50" s="77" t="s">
        <v>596</v>
      </c>
    </row>
    <row r="51" spans="1:13" x14ac:dyDescent="0.3">
      <c r="A51" s="79" t="s">
        <v>583</v>
      </c>
      <c r="B51" s="71" t="s">
        <v>81</v>
      </c>
      <c r="C51" s="71">
        <v>8</v>
      </c>
      <c r="D51" s="71">
        <v>1</v>
      </c>
      <c r="E51" s="71" t="s">
        <v>520</v>
      </c>
      <c r="F51" s="73">
        <v>135519.25390000001</v>
      </c>
      <c r="G51" s="73">
        <f>SUMIF(TabelaDespesas[Rubrica],$K51,TabelaDespesas[Valor])+SUMIF(TabelaDespesas[Rubrica],$A51,TabelaDespesas[Valor])+SUMIF(TabelaDespesas[Rubrica],$A51&amp;".",TabelaDespesas[Valor])</f>
        <v>0</v>
      </c>
      <c r="H51" s="73">
        <f t="shared" si="2"/>
        <v>135519.25390000001</v>
      </c>
      <c r="I51" s="95">
        <f t="shared" si="3"/>
        <v>0</v>
      </c>
      <c r="J51" s="71">
        <f>COUNTIF(TabelaDespesas[Rubrica],$K51)+COUNTIF(TabelaDespesas[Rubrica],$A51)+COUNTIF(TabelaDespesas[Rubrica],$A51&amp;".")</f>
        <v>0</v>
      </c>
      <c r="K51" s="79" t="s">
        <v>584</v>
      </c>
      <c r="M51" s="77" t="s">
        <v>599</v>
      </c>
    </row>
    <row r="52" spans="1:13" x14ac:dyDescent="0.3">
      <c r="A52" s="77" t="s">
        <v>99</v>
      </c>
      <c r="B52" t="s">
        <v>85</v>
      </c>
      <c r="C52">
        <v>8</v>
      </c>
      <c r="D52">
        <v>2</v>
      </c>
      <c r="E52" t="s">
        <v>525</v>
      </c>
      <c r="F52" s="91">
        <v>91855.987800000003</v>
      </c>
      <c r="G52" s="91">
        <f>SUMIF(TabelaDespesas[Rubrica],$K52,TabelaDespesas[Valor])+SUMIF(TabelaDespesas[Rubrica],$A52,TabelaDespesas[Valor])+SUMIF(TabelaDespesas[Rubrica],$A52&amp;".",TabelaDespesas[Valor])</f>
        <v>0</v>
      </c>
      <c r="H52" s="91">
        <f t="shared" si="2"/>
        <v>91855.987800000003</v>
      </c>
      <c r="I52" s="78">
        <f t="shared" si="3"/>
        <v>0</v>
      </c>
      <c r="J52">
        <f>COUNTIF(TabelaDespesas[Rubrica],$K52)+COUNTIF(TabelaDespesas[Rubrica],$A52)+COUNTIF(TabelaDespesas[Rubrica],$A52&amp;".")</f>
        <v>0</v>
      </c>
      <c r="K52" s="77" t="s">
        <v>585</v>
      </c>
      <c r="M52" s="77" t="s">
        <v>601</v>
      </c>
    </row>
    <row r="53" spans="1:13" x14ac:dyDescent="0.3">
      <c r="A53" s="77" t="s">
        <v>101</v>
      </c>
      <c r="B53" t="s">
        <v>87</v>
      </c>
      <c r="C53">
        <v>8</v>
      </c>
      <c r="D53">
        <v>2</v>
      </c>
      <c r="E53" t="s">
        <v>525</v>
      </c>
      <c r="F53" s="91">
        <v>1096.0611000000001</v>
      </c>
      <c r="G53" s="91">
        <f>SUMIF(TabelaDespesas[Rubrica],$K53,TabelaDespesas[Valor])+SUMIF(TabelaDespesas[Rubrica],$A53,TabelaDespesas[Valor])+SUMIF(TabelaDespesas[Rubrica],$A53&amp;".",TabelaDespesas[Valor])</f>
        <v>0</v>
      </c>
      <c r="H53" s="91">
        <f t="shared" si="2"/>
        <v>1096.0611000000001</v>
      </c>
      <c r="I53" s="78">
        <f t="shared" si="3"/>
        <v>0</v>
      </c>
      <c r="J53">
        <f>COUNTIF(TabelaDespesas[Rubrica],$K53)+COUNTIF(TabelaDespesas[Rubrica],$A53)+COUNTIF(TabelaDespesas[Rubrica],$A53&amp;".")</f>
        <v>0</v>
      </c>
      <c r="K53" s="77" t="s">
        <v>586</v>
      </c>
      <c r="M53" s="77" t="s">
        <v>602</v>
      </c>
    </row>
    <row r="54" spans="1:13" x14ac:dyDescent="0.3">
      <c r="A54" s="77" t="s">
        <v>101</v>
      </c>
      <c r="B54" t="s">
        <v>89</v>
      </c>
      <c r="C54">
        <v>8</v>
      </c>
      <c r="D54">
        <v>2</v>
      </c>
      <c r="E54" t="s">
        <v>525</v>
      </c>
      <c r="F54" s="91">
        <v>8076.8432000000003</v>
      </c>
      <c r="G54" s="91">
        <f>SUMIF(TabelaDespesas[Rubrica],$K54,TabelaDespesas[Valor])</f>
        <v>0</v>
      </c>
      <c r="H54" s="91">
        <f t="shared" si="2"/>
        <v>8076.8432000000003</v>
      </c>
      <c r="I54" s="78">
        <f t="shared" si="3"/>
        <v>0</v>
      </c>
      <c r="J54">
        <f>COUNTIF(TabelaDespesas[Rubrica],$K54)</f>
        <v>0</v>
      </c>
      <c r="K54" s="77" t="s">
        <v>587</v>
      </c>
      <c r="M54" s="77" t="s">
        <v>603</v>
      </c>
    </row>
    <row r="55" spans="1:13" x14ac:dyDescent="0.3">
      <c r="A55" s="77" t="s">
        <v>104</v>
      </c>
      <c r="B55" t="s">
        <v>588</v>
      </c>
      <c r="C55">
        <v>8</v>
      </c>
      <c r="D55">
        <v>2</v>
      </c>
      <c r="E55" t="s">
        <v>525</v>
      </c>
      <c r="F55" s="91">
        <v>12471.124400000001</v>
      </c>
      <c r="G55" s="91">
        <f>SUMIF(TabelaDespesas[Rubrica],$K55,TabelaDespesas[Valor])+SUMIF(TabelaDespesas[Rubrica],$A55,TabelaDespesas[Valor])+SUMIF(TabelaDespesas[Rubrica],$A55&amp;".",TabelaDespesas[Valor])</f>
        <v>0</v>
      </c>
      <c r="H55" s="91">
        <f t="shared" si="2"/>
        <v>12471.124400000001</v>
      </c>
      <c r="I55" s="78">
        <f t="shared" si="3"/>
        <v>0</v>
      </c>
      <c r="J55">
        <f>COUNTIF(TabelaDespesas[Rubrica],$K55)+COUNTIF(TabelaDespesas[Rubrica],$A55)+COUNTIF(TabelaDespesas[Rubrica],$A55&amp;".")</f>
        <v>0</v>
      </c>
      <c r="K55" s="77" t="s">
        <v>589</v>
      </c>
      <c r="M55" s="77" t="s">
        <v>605</v>
      </c>
    </row>
    <row r="56" spans="1:13" x14ac:dyDescent="0.3">
      <c r="A56" s="77" t="s">
        <v>308</v>
      </c>
      <c r="B56" t="s">
        <v>590</v>
      </c>
      <c r="C56">
        <v>8</v>
      </c>
      <c r="D56">
        <v>3</v>
      </c>
      <c r="E56" t="s">
        <v>523</v>
      </c>
      <c r="F56" s="91">
        <v>0</v>
      </c>
      <c r="G56" s="91">
        <f>SUMIF(TabelaDespesas[Rubrica],$K56,TabelaDespesas[Valor])+SUMIF(TabelaDespesas[Rubrica],$A56,TabelaDespesas[Valor])+SUMIF(TabelaDespesas[Rubrica],$A56&amp;".",TabelaDespesas[Valor])</f>
        <v>0</v>
      </c>
      <c r="H56" s="91">
        <f t="shared" si="2"/>
        <v>0</v>
      </c>
      <c r="I56" s="78" t="str">
        <f t="shared" si="3"/>
        <v/>
      </c>
      <c r="J56">
        <f>COUNTIF(TabelaDespesas[Rubrica],$K56)+COUNTIF(TabelaDespesas[Rubrica],$A56)+COUNTIF(TabelaDespesas[Rubrica],$A56&amp;".")</f>
        <v>0</v>
      </c>
      <c r="K56" s="77" t="s">
        <v>591</v>
      </c>
      <c r="M56" s="77" t="s">
        <v>606</v>
      </c>
    </row>
    <row r="57" spans="1:13" x14ac:dyDescent="0.3">
      <c r="A57" s="77" t="s">
        <v>309</v>
      </c>
      <c r="B57" t="s">
        <v>92</v>
      </c>
      <c r="C57">
        <v>8</v>
      </c>
      <c r="D57">
        <v>3</v>
      </c>
      <c r="E57" t="s">
        <v>523</v>
      </c>
      <c r="F57" s="91">
        <v>0</v>
      </c>
      <c r="G57" s="91">
        <f>SUMIF(TabelaDespesas[Rubrica],$K57,TabelaDespesas[Valor])+SUMIF(TabelaDespesas[Rubrica],$A57,TabelaDespesas[Valor])+SUMIF(TabelaDespesas[Rubrica],$A57&amp;".",TabelaDespesas[Valor])</f>
        <v>0</v>
      </c>
      <c r="H57" s="91">
        <f t="shared" si="2"/>
        <v>0</v>
      </c>
      <c r="I57" s="78" t="str">
        <f t="shared" si="3"/>
        <v/>
      </c>
      <c r="J57">
        <f>COUNTIF(TabelaDespesas[Rubrica],$K57)+COUNTIF(TabelaDespesas[Rubrica],$A57)+COUNTIF(TabelaDespesas[Rubrica],$A57&amp;".")</f>
        <v>0</v>
      </c>
      <c r="K57" s="77" t="s">
        <v>592</v>
      </c>
      <c r="M57" s="77" t="s">
        <v>607</v>
      </c>
    </row>
    <row r="58" spans="1:13" x14ac:dyDescent="0.3">
      <c r="A58" s="77" t="s">
        <v>310</v>
      </c>
      <c r="B58" t="s">
        <v>593</v>
      </c>
      <c r="C58">
        <v>8</v>
      </c>
      <c r="D58">
        <v>3</v>
      </c>
      <c r="E58" t="s">
        <v>523</v>
      </c>
      <c r="F58" s="91">
        <v>0</v>
      </c>
      <c r="G58" s="91">
        <f>SUMIF(TabelaDespesas[Rubrica],$K58,TabelaDespesas[Valor])+SUMIF(TabelaDespesas[Rubrica],$A58,TabelaDespesas[Valor])+SUMIF(TabelaDespesas[Rubrica],$A58&amp;".",TabelaDespesas[Valor])</f>
        <v>0</v>
      </c>
      <c r="H58" s="91">
        <f t="shared" si="2"/>
        <v>0</v>
      </c>
      <c r="I58" s="78" t="str">
        <f t="shared" si="3"/>
        <v/>
      </c>
      <c r="J58">
        <f>COUNTIF(TabelaDespesas[Rubrica],$K58)+COUNTIF(TabelaDespesas[Rubrica],$A58)+COUNTIF(TabelaDespesas[Rubrica],$A58&amp;".")</f>
        <v>0</v>
      </c>
      <c r="K58" s="77" t="s">
        <v>594</v>
      </c>
      <c r="M58" s="77" t="s">
        <v>608</v>
      </c>
    </row>
    <row r="59" spans="1:13" x14ac:dyDescent="0.3">
      <c r="A59" s="77" t="s">
        <v>106</v>
      </c>
      <c r="B59" t="s">
        <v>595</v>
      </c>
      <c r="C59">
        <v>8</v>
      </c>
      <c r="D59">
        <v>2</v>
      </c>
      <c r="E59" t="s">
        <v>525</v>
      </c>
      <c r="F59" s="91">
        <v>22019.237400000002</v>
      </c>
      <c r="G59" s="91">
        <f>SUMIF(TabelaDespesas[Rubrica],$K59,TabelaDespesas[Valor])+SUMIF(TabelaDespesas[Rubrica],$A59,TabelaDespesas[Valor])+SUMIF(TabelaDespesas[Rubrica],$A59&amp;".",TabelaDespesas[Valor])</f>
        <v>0</v>
      </c>
      <c r="H59" s="91">
        <f t="shared" si="2"/>
        <v>22019.237400000002</v>
      </c>
      <c r="I59" s="78">
        <f t="shared" si="3"/>
        <v>0</v>
      </c>
      <c r="J59">
        <f>COUNTIF(TabelaDespesas[Rubrica],$K59)+COUNTIF(TabelaDespesas[Rubrica],$A59)+COUNTIF(TabelaDespesas[Rubrica],$A59&amp;".")</f>
        <v>0</v>
      </c>
      <c r="K59" s="77" t="s">
        <v>596</v>
      </c>
      <c r="M59" s="77" t="s">
        <v>609</v>
      </c>
    </row>
    <row r="60" spans="1:13" x14ac:dyDescent="0.3">
      <c r="A60" s="79" t="s">
        <v>597</v>
      </c>
      <c r="B60" s="71" t="s">
        <v>598</v>
      </c>
      <c r="C60" s="71">
        <v>9</v>
      </c>
      <c r="D60" s="71">
        <v>1</v>
      </c>
      <c r="E60" s="71" t="s">
        <v>520</v>
      </c>
      <c r="F60" s="73">
        <v>393014.1226</v>
      </c>
      <c r="G60" s="73">
        <f>SUMIF(TabelaDespesas[Rubrica],$K60,TabelaDespesas[Valor])+SUMIF(TabelaDespesas[Rubrica],$A60,TabelaDespesas[Valor])+SUMIF(TabelaDespesas[Rubrica],$A60&amp;".",TabelaDespesas[Valor])</f>
        <v>0</v>
      </c>
      <c r="H60" s="73">
        <f t="shared" si="2"/>
        <v>393014.1226</v>
      </c>
      <c r="I60" s="95">
        <f t="shared" si="3"/>
        <v>0</v>
      </c>
      <c r="J60" s="71">
        <f>COUNTIF(TabelaDespesas[Rubrica],$K60)+COUNTIF(TabelaDespesas[Rubrica],$A60)+COUNTIF(TabelaDespesas[Rubrica],$A60&amp;".")</f>
        <v>0</v>
      </c>
      <c r="K60" s="79" t="s">
        <v>599</v>
      </c>
      <c r="M60" s="77" t="s">
        <v>610</v>
      </c>
    </row>
    <row r="61" spans="1:13" x14ac:dyDescent="0.3">
      <c r="A61" s="77" t="s">
        <v>137</v>
      </c>
      <c r="B61" t="s">
        <v>600</v>
      </c>
      <c r="C61">
        <v>9</v>
      </c>
      <c r="D61">
        <v>2</v>
      </c>
      <c r="E61" t="s">
        <v>525</v>
      </c>
      <c r="F61" s="91">
        <v>6570.585</v>
      </c>
      <c r="G61" s="91">
        <f>SUMIF(TabelaDespesas[Rubrica],$K61,TabelaDespesas[Valor])+SUMIF(TabelaDespesas[Rubrica],$A61,TabelaDespesas[Valor])+SUMIF(TabelaDespesas[Rubrica],$A61&amp;".",TabelaDespesas[Valor])</f>
        <v>0</v>
      </c>
      <c r="H61" s="91">
        <f t="shared" si="2"/>
        <v>6570.585</v>
      </c>
      <c r="I61" s="78">
        <f t="shared" si="3"/>
        <v>0</v>
      </c>
      <c r="J61">
        <f>COUNTIF(TabelaDespesas[Rubrica],$K61)+COUNTIF(TabelaDespesas[Rubrica],$A61)+COUNTIF(TabelaDespesas[Rubrica],$A61&amp;".")</f>
        <v>0</v>
      </c>
      <c r="K61" s="77" t="s">
        <v>601</v>
      </c>
      <c r="M61" s="77" t="s">
        <v>611</v>
      </c>
    </row>
    <row r="62" spans="1:13" x14ac:dyDescent="0.3">
      <c r="A62" s="77" t="s">
        <v>139</v>
      </c>
      <c r="B62" t="s">
        <v>102</v>
      </c>
      <c r="C62">
        <v>9</v>
      </c>
      <c r="D62">
        <v>2</v>
      </c>
      <c r="E62" t="s">
        <v>525</v>
      </c>
      <c r="F62" s="91">
        <v>21082.739999999998</v>
      </c>
      <c r="G62" s="91">
        <f>SUMIF(TabelaDespesas[Rubrica],$K62,TabelaDespesas[Valor])+SUMIF(TabelaDespesas[Rubrica],$A62,TabelaDespesas[Valor])+SUMIF(TabelaDespesas[Rubrica],$A62&amp;".",TabelaDespesas[Valor])</f>
        <v>0</v>
      </c>
      <c r="H62" s="91">
        <f t="shared" si="2"/>
        <v>21082.739999999998</v>
      </c>
      <c r="I62" s="78">
        <f t="shared" si="3"/>
        <v>0</v>
      </c>
      <c r="J62">
        <f>COUNTIF(TabelaDespesas[Rubrica],$K62)+COUNTIF(TabelaDespesas[Rubrica],$A62)+COUNTIF(TabelaDespesas[Rubrica],$A62&amp;".")</f>
        <v>0</v>
      </c>
      <c r="K62" s="77" t="s">
        <v>602</v>
      </c>
      <c r="M62" s="77" t="s">
        <v>613</v>
      </c>
    </row>
    <row r="63" spans="1:13" x14ac:dyDescent="0.3">
      <c r="A63" s="77" t="s">
        <v>141</v>
      </c>
      <c r="B63" t="s">
        <v>103</v>
      </c>
      <c r="C63">
        <v>9</v>
      </c>
      <c r="D63">
        <v>2</v>
      </c>
      <c r="E63" t="s">
        <v>525</v>
      </c>
      <c r="F63" s="91">
        <v>4084.8287999999998</v>
      </c>
      <c r="G63" s="91">
        <f>SUMIF(TabelaDespesas[Rubrica],$K63,TabelaDespesas[Valor])+SUMIF(TabelaDespesas[Rubrica],$A63,TabelaDespesas[Valor])+SUMIF(TabelaDespesas[Rubrica],$A63&amp;".",TabelaDespesas[Valor])</f>
        <v>0</v>
      </c>
      <c r="H63" s="91">
        <f t="shared" si="2"/>
        <v>4084.8287999999998</v>
      </c>
      <c r="I63" s="78">
        <f t="shared" si="3"/>
        <v>0</v>
      </c>
      <c r="J63">
        <f>COUNTIF(TabelaDespesas[Rubrica],$K63)+COUNTIF(TabelaDespesas[Rubrica],$A63)+COUNTIF(TabelaDespesas[Rubrica],$A63&amp;".")</f>
        <v>0</v>
      </c>
      <c r="K63" s="77" t="s">
        <v>603</v>
      </c>
      <c r="M63" s="77" t="s">
        <v>614</v>
      </c>
    </row>
    <row r="64" spans="1:13" x14ac:dyDescent="0.3">
      <c r="A64" s="77" t="s">
        <v>143</v>
      </c>
      <c r="B64" t="s">
        <v>105</v>
      </c>
      <c r="C64">
        <v>9</v>
      </c>
      <c r="D64">
        <v>2</v>
      </c>
      <c r="E64" t="s">
        <v>523</v>
      </c>
      <c r="F64" s="91">
        <v>0</v>
      </c>
      <c r="G64" s="91">
        <f>SUMIF(TabelaDespesas[Rubrica],$K64,TabelaDespesas[Valor])+SUMIF(TabelaDespesas[Rubrica],$A64,TabelaDespesas[Valor])+SUMIF(TabelaDespesas[Rubrica],$A64&amp;".",TabelaDespesas[Valor])</f>
        <v>0</v>
      </c>
      <c r="H64" s="91">
        <f t="shared" si="2"/>
        <v>0</v>
      </c>
      <c r="I64" s="78" t="str">
        <f t="shared" si="3"/>
        <v/>
      </c>
      <c r="J64">
        <f>COUNTIF(TabelaDespesas[Rubrica],$K64)+COUNTIF(TabelaDespesas[Rubrica],$A64)+COUNTIF(TabelaDespesas[Rubrica],$A64&amp;".")</f>
        <v>0</v>
      </c>
      <c r="K64" s="77" t="s">
        <v>604</v>
      </c>
      <c r="M64" s="77" t="s">
        <v>615</v>
      </c>
    </row>
    <row r="65" spans="1:13" x14ac:dyDescent="0.3">
      <c r="A65" s="77" t="s">
        <v>145</v>
      </c>
      <c r="B65" t="s">
        <v>107</v>
      </c>
      <c r="C65">
        <v>9</v>
      </c>
      <c r="D65">
        <v>2</v>
      </c>
      <c r="E65" t="s">
        <v>525</v>
      </c>
      <c r="F65" s="91">
        <v>27603.485000000001</v>
      </c>
      <c r="G65" s="91">
        <f>SUMIF(TabelaDespesas[Rubrica],$K65,TabelaDespesas[Valor])+SUMIF(TabelaDespesas[Rubrica],$A65,TabelaDespesas[Valor])+SUMIF(TabelaDespesas[Rubrica],$A65&amp;".",TabelaDespesas[Valor])</f>
        <v>0</v>
      </c>
      <c r="H65" s="91">
        <f t="shared" si="2"/>
        <v>27603.485000000001</v>
      </c>
      <c r="I65" s="78">
        <f t="shared" si="3"/>
        <v>0</v>
      </c>
      <c r="J65">
        <f>COUNTIF(TabelaDespesas[Rubrica],$K65)+COUNTIF(TabelaDespesas[Rubrica],$A65)+COUNTIF(TabelaDespesas[Rubrica],$A65&amp;".")</f>
        <v>0</v>
      </c>
      <c r="K65" s="77" t="s">
        <v>605</v>
      </c>
      <c r="M65" s="77" t="s">
        <v>616</v>
      </c>
    </row>
    <row r="66" spans="1:13" x14ac:dyDescent="0.3">
      <c r="A66" s="77" t="s">
        <v>146</v>
      </c>
      <c r="B66" t="s">
        <v>108</v>
      </c>
      <c r="C66">
        <v>9</v>
      </c>
      <c r="D66">
        <v>2</v>
      </c>
      <c r="E66" t="s">
        <v>525</v>
      </c>
      <c r="F66" s="91">
        <v>3318.7063999999996</v>
      </c>
      <c r="G66" s="91">
        <f>SUMIF(TabelaDespesas[Rubrica],$K66,TabelaDespesas[Valor])+SUMIF(TabelaDespesas[Rubrica],$A66,TabelaDespesas[Valor])+SUMIF(TabelaDespesas[Rubrica],$A66&amp;".",TabelaDespesas[Valor])</f>
        <v>0</v>
      </c>
      <c r="H66" s="91">
        <f t="shared" ref="H66:H97" si="4">F66-G66</f>
        <v>3318.7063999999996</v>
      </c>
      <c r="I66" s="78">
        <f t="shared" ref="I66:I97" si="5">IF(F66=0,"",G66/F66)</f>
        <v>0</v>
      </c>
      <c r="J66">
        <f>COUNTIF(TabelaDespesas[Rubrica],$K66)+COUNTIF(TabelaDespesas[Rubrica],$A66)+COUNTIF(TabelaDespesas[Rubrica],$A66&amp;".")</f>
        <v>0</v>
      </c>
      <c r="K66" s="77" t="s">
        <v>606</v>
      </c>
      <c r="M66" s="77" t="s">
        <v>618</v>
      </c>
    </row>
    <row r="67" spans="1:13" x14ac:dyDescent="0.3">
      <c r="A67" s="77" t="s">
        <v>311</v>
      </c>
      <c r="B67" t="s">
        <v>109</v>
      </c>
      <c r="C67">
        <v>9</v>
      </c>
      <c r="D67">
        <v>2</v>
      </c>
      <c r="E67" t="s">
        <v>525</v>
      </c>
      <c r="F67" s="91">
        <v>40550.114000000001</v>
      </c>
      <c r="G67" s="91">
        <f>SUMIF(TabelaDespesas[Rubrica],$K67,TabelaDespesas[Valor])+SUMIF(TabelaDespesas[Rubrica],$A67,TabelaDespesas[Valor])+SUMIF(TabelaDespesas[Rubrica],$A67&amp;".",TabelaDespesas[Valor])</f>
        <v>0</v>
      </c>
      <c r="H67" s="91">
        <f t="shared" si="4"/>
        <v>40550.114000000001</v>
      </c>
      <c r="I67" s="78">
        <f t="shared" si="5"/>
        <v>0</v>
      </c>
      <c r="J67">
        <f>COUNTIF(TabelaDespesas[Rubrica],$K67)+COUNTIF(TabelaDespesas[Rubrica],$A67)+COUNTIF(TabelaDespesas[Rubrica],$A67&amp;".")</f>
        <v>0</v>
      </c>
      <c r="K67" s="77" t="s">
        <v>607</v>
      </c>
      <c r="M67" s="77" t="s">
        <v>619</v>
      </c>
    </row>
    <row r="68" spans="1:13" x14ac:dyDescent="0.3">
      <c r="A68" s="77" t="s">
        <v>312</v>
      </c>
      <c r="B68" t="s">
        <v>110</v>
      </c>
      <c r="C68">
        <v>9</v>
      </c>
      <c r="D68">
        <v>2</v>
      </c>
      <c r="E68" t="s">
        <v>525</v>
      </c>
      <c r="F68" s="91">
        <v>45694.331400000003</v>
      </c>
      <c r="G68" s="91">
        <f>SUMIF(TabelaDespesas[Rubrica],$K68,TabelaDespesas[Valor])+SUMIF(TabelaDespesas[Rubrica],$A68,TabelaDespesas[Valor])+SUMIF(TabelaDespesas[Rubrica],$A68&amp;".",TabelaDespesas[Valor])</f>
        <v>0</v>
      </c>
      <c r="H68" s="91">
        <f t="shared" si="4"/>
        <v>45694.331400000003</v>
      </c>
      <c r="I68" s="78">
        <f t="shared" si="5"/>
        <v>0</v>
      </c>
      <c r="J68">
        <f>COUNTIF(TabelaDespesas[Rubrica],$K68)+COUNTIF(TabelaDespesas[Rubrica],$A68)+COUNTIF(TabelaDespesas[Rubrica],$A68&amp;".")</f>
        <v>0</v>
      </c>
      <c r="K68" s="77" t="s">
        <v>608</v>
      </c>
      <c r="M68" s="77" t="s">
        <v>620</v>
      </c>
    </row>
    <row r="69" spans="1:13" x14ac:dyDescent="0.3">
      <c r="A69" s="77" t="s">
        <v>313</v>
      </c>
      <c r="B69" t="s">
        <v>111</v>
      </c>
      <c r="C69">
        <v>9</v>
      </c>
      <c r="D69">
        <v>2</v>
      </c>
      <c r="E69" t="s">
        <v>525</v>
      </c>
      <c r="F69" s="91">
        <v>61615.049999999996</v>
      </c>
      <c r="G69" s="91">
        <f>SUMIF(TabelaDespesas[Rubrica],$K69,TabelaDespesas[Valor])+SUMIF(TabelaDespesas[Rubrica],$A69,TabelaDespesas[Valor])+SUMIF(TabelaDespesas[Rubrica],$A69&amp;".",TabelaDespesas[Valor])</f>
        <v>0</v>
      </c>
      <c r="H69" s="91">
        <f t="shared" si="4"/>
        <v>61615.049999999996</v>
      </c>
      <c r="I69" s="78">
        <f t="shared" si="5"/>
        <v>0</v>
      </c>
      <c r="J69">
        <f>COUNTIF(TabelaDespesas[Rubrica],$K69)+COUNTIF(TabelaDespesas[Rubrica],$A69)+COUNTIF(TabelaDespesas[Rubrica],$A69&amp;".")</f>
        <v>0</v>
      </c>
      <c r="K69" s="77" t="s">
        <v>609</v>
      </c>
      <c r="M69" s="77" t="s">
        <v>621</v>
      </c>
    </row>
    <row r="70" spans="1:13" x14ac:dyDescent="0.3">
      <c r="A70" s="77" t="s">
        <v>314</v>
      </c>
      <c r="B70" t="s">
        <v>114</v>
      </c>
      <c r="C70">
        <v>9</v>
      </c>
      <c r="D70">
        <v>2</v>
      </c>
      <c r="E70" t="s">
        <v>525</v>
      </c>
      <c r="F70" s="91">
        <v>30204.143199999999</v>
      </c>
      <c r="G70" s="91">
        <f>SUMIF(TabelaDespesas[Rubrica],$K70,TabelaDespesas[Valor])+SUMIF(TabelaDespesas[Rubrica],$A70,TabelaDespesas[Valor])+SUMIF(TabelaDespesas[Rubrica],$A70&amp;".",TabelaDespesas[Valor])</f>
        <v>0</v>
      </c>
      <c r="H70" s="91">
        <f t="shared" si="4"/>
        <v>30204.143199999999</v>
      </c>
      <c r="I70" s="78">
        <f t="shared" si="5"/>
        <v>0</v>
      </c>
      <c r="J70">
        <f>COUNTIF(TabelaDespesas[Rubrica],$K70)+COUNTIF(TabelaDespesas[Rubrica],$A70)+COUNTIF(TabelaDespesas[Rubrica],$A70&amp;".")</f>
        <v>0</v>
      </c>
      <c r="K70" s="77" t="s">
        <v>610</v>
      </c>
      <c r="M70" s="77" t="s">
        <v>622</v>
      </c>
    </row>
    <row r="71" spans="1:13" x14ac:dyDescent="0.3">
      <c r="A71" s="77" t="s">
        <v>315</v>
      </c>
      <c r="B71" t="s">
        <v>115</v>
      </c>
      <c r="C71">
        <v>9</v>
      </c>
      <c r="D71">
        <v>2</v>
      </c>
      <c r="E71" t="s">
        <v>525</v>
      </c>
      <c r="F71" s="91">
        <v>33716.128000000004</v>
      </c>
      <c r="G71" s="91">
        <f>SUMIF(TabelaDespesas[Rubrica],$K71,TabelaDespesas[Valor])+SUMIF(TabelaDespesas[Rubrica],$A71,TabelaDespesas[Valor])+SUMIF(TabelaDespesas[Rubrica],$A71&amp;".",TabelaDespesas[Valor])</f>
        <v>0</v>
      </c>
      <c r="H71" s="91">
        <f t="shared" si="4"/>
        <v>33716.128000000004</v>
      </c>
      <c r="I71" s="78">
        <f t="shared" si="5"/>
        <v>0</v>
      </c>
      <c r="J71">
        <f>COUNTIF(TabelaDespesas[Rubrica],$K71)+COUNTIF(TabelaDespesas[Rubrica],$A71)+COUNTIF(TabelaDespesas[Rubrica],$A71&amp;".")</f>
        <v>0</v>
      </c>
      <c r="K71" s="77" t="s">
        <v>611</v>
      </c>
      <c r="M71" s="77" t="s">
        <v>623</v>
      </c>
    </row>
    <row r="72" spans="1:13" x14ac:dyDescent="0.3">
      <c r="A72" s="77" t="s">
        <v>316</v>
      </c>
      <c r="B72" t="s">
        <v>117</v>
      </c>
      <c r="C72">
        <v>9</v>
      </c>
      <c r="D72">
        <v>2</v>
      </c>
      <c r="E72" t="s">
        <v>523</v>
      </c>
      <c r="F72" s="91">
        <v>0</v>
      </c>
      <c r="G72" s="91">
        <f>SUMIF(TabelaDespesas[Rubrica],$K72,TabelaDespesas[Valor])+SUMIF(TabelaDespesas[Rubrica],$A72,TabelaDespesas[Valor])+SUMIF(TabelaDespesas[Rubrica],$A72&amp;".",TabelaDespesas[Valor])</f>
        <v>0</v>
      </c>
      <c r="H72" s="91">
        <f t="shared" si="4"/>
        <v>0</v>
      </c>
      <c r="I72" s="78" t="str">
        <f t="shared" si="5"/>
        <v/>
      </c>
      <c r="J72">
        <f>COUNTIF(TabelaDespesas[Rubrica],$K72)+COUNTIF(TabelaDespesas[Rubrica],$A72)+COUNTIF(TabelaDespesas[Rubrica],$A72&amp;".")</f>
        <v>0</v>
      </c>
      <c r="K72" s="77" t="s">
        <v>612</v>
      </c>
      <c r="M72" s="77" t="s">
        <v>624</v>
      </c>
    </row>
    <row r="73" spans="1:13" x14ac:dyDescent="0.3">
      <c r="A73" s="77" t="s">
        <v>317</v>
      </c>
      <c r="B73" t="s">
        <v>118</v>
      </c>
      <c r="C73">
        <v>9</v>
      </c>
      <c r="D73">
        <v>3</v>
      </c>
      <c r="E73" t="s">
        <v>525</v>
      </c>
      <c r="F73" s="91">
        <v>18323.412</v>
      </c>
      <c r="G73" s="91">
        <f>SUMIF(TabelaDespesas[Rubrica],$K73,TabelaDespesas[Valor])+SUMIF(TabelaDespesas[Rubrica],$A73,TabelaDespesas[Valor])+SUMIF(TabelaDespesas[Rubrica],$A73&amp;".",TabelaDespesas[Valor])</f>
        <v>0</v>
      </c>
      <c r="H73" s="91">
        <f t="shared" si="4"/>
        <v>18323.412</v>
      </c>
      <c r="I73" s="78">
        <f t="shared" si="5"/>
        <v>0</v>
      </c>
      <c r="J73">
        <f>COUNTIF(TabelaDespesas[Rubrica],$K73)+COUNTIF(TabelaDespesas[Rubrica],$A73)+COUNTIF(TabelaDespesas[Rubrica],$A73&amp;".")</f>
        <v>0</v>
      </c>
      <c r="K73" s="77" t="s">
        <v>613</v>
      </c>
      <c r="M73" s="77" t="s">
        <v>625</v>
      </c>
    </row>
    <row r="74" spans="1:13" x14ac:dyDescent="0.3">
      <c r="A74" s="77" t="s">
        <v>318</v>
      </c>
      <c r="B74" t="s">
        <v>119</v>
      </c>
      <c r="C74">
        <v>9</v>
      </c>
      <c r="D74">
        <v>3</v>
      </c>
      <c r="E74" t="s">
        <v>525</v>
      </c>
      <c r="F74" s="91">
        <v>5511.8639999999996</v>
      </c>
      <c r="G74" s="91">
        <f>SUMIF(TabelaDespesas[Rubrica],$K74,TabelaDespesas[Valor])+SUMIF(TabelaDespesas[Rubrica],$A74,TabelaDespesas[Valor])+SUMIF(TabelaDespesas[Rubrica],$A74&amp;".",TabelaDespesas[Valor])</f>
        <v>0</v>
      </c>
      <c r="H74" s="91">
        <f t="shared" si="4"/>
        <v>5511.8639999999996</v>
      </c>
      <c r="I74" s="78">
        <f t="shared" si="5"/>
        <v>0</v>
      </c>
      <c r="J74">
        <f>COUNTIF(TabelaDespesas[Rubrica],$K74)+COUNTIF(TabelaDespesas[Rubrica],$A74)+COUNTIF(TabelaDespesas[Rubrica],$A74&amp;".")</f>
        <v>0</v>
      </c>
      <c r="K74" s="77" t="s">
        <v>614</v>
      </c>
      <c r="M74" s="77" t="s">
        <v>626</v>
      </c>
    </row>
    <row r="75" spans="1:13" x14ac:dyDescent="0.3">
      <c r="A75" s="77" t="s">
        <v>319</v>
      </c>
      <c r="B75" t="s">
        <v>120</v>
      </c>
      <c r="C75">
        <v>9</v>
      </c>
      <c r="D75">
        <v>3</v>
      </c>
      <c r="E75" t="s">
        <v>525</v>
      </c>
      <c r="F75" s="91">
        <v>701.6819999999999</v>
      </c>
      <c r="G75" s="91">
        <f>SUMIF(TabelaDespesas[Rubrica],$K75,TabelaDespesas[Valor])+SUMIF(TabelaDespesas[Rubrica],$A75,TabelaDespesas[Valor])+SUMIF(TabelaDespesas[Rubrica],$A75&amp;".",TabelaDespesas[Valor])</f>
        <v>0</v>
      </c>
      <c r="H75" s="91">
        <f t="shared" si="4"/>
        <v>701.6819999999999</v>
      </c>
      <c r="I75" s="78">
        <f t="shared" si="5"/>
        <v>0</v>
      </c>
      <c r="J75">
        <f>COUNTIF(TabelaDespesas[Rubrica],$K75)+COUNTIF(TabelaDespesas[Rubrica],$A75)+COUNTIF(TabelaDespesas[Rubrica],$A75&amp;".")</f>
        <v>0</v>
      </c>
      <c r="K75" s="77" t="s">
        <v>615</v>
      </c>
      <c r="M75" s="77" t="s">
        <v>629</v>
      </c>
    </row>
    <row r="76" spans="1:13" x14ac:dyDescent="0.3">
      <c r="A76" s="77" t="s">
        <v>320</v>
      </c>
      <c r="B76" t="s">
        <v>121</v>
      </c>
      <c r="C76">
        <v>9</v>
      </c>
      <c r="D76">
        <v>2</v>
      </c>
      <c r="E76" t="s">
        <v>525</v>
      </c>
      <c r="F76" s="91">
        <v>1061.6400000000001</v>
      </c>
      <c r="G76" s="91">
        <f>SUMIF(TabelaDespesas[Rubrica],$K76,TabelaDespesas[Valor])+SUMIF(TabelaDespesas[Rubrica],$A76,TabelaDespesas[Valor])+SUMIF(TabelaDespesas[Rubrica],$A76&amp;".",TabelaDespesas[Valor])</f>
        <v>0</v>
      </c>
      <c r="H76" s="91">
        <f t="shared" si="4"/>
        <v>1061.6400000000001</v>
      </c>
      <c r="I76" s="78">
        <f t="shared" si="5"/>
        <v>0</v>
      </c>
      <c r="J76">
        <f>COUNTIF(TabelaDespesas[Rubrica],$K76)+COUNTIF(TabelaDespesas[Rubrica],$A76)+COUNTIF(TabelaDespesas[Rubrica],$A76&amp;".")</f>
        <v>0</v>
      </c>
      <c r="K76" s="77" t="s">
        <v>616</v>
      </c>
      <c r="M76" s="77" t="s">
        <v>630</v>
      </c>
    </row>
    <row r="77" spans="1:13" x14ac:dyDescent="0.3">
      <c r="A77" s="77" t="s">
        <v>321</v>
      </c>
      <c r="B77" t="s">
        <v>122</v>
      </c>
      <c r="C77">
        <v>9</v>
      </c>
      <c r="D77">
        <v>2</v>
      </c>
      <c r="E77" t="s">
        <v>523</v>
      </c>
      <c r="F77" s="91">
        <v>0</v>
      </c>
      <c r="G77" s="91">
        <f>SUMIF(TabelaDespesas[Rubrica],$K77,TabelaDespesas[Valor])+SUMIF(TabelaDespesas[Rubrica],$A77,TabelaDespesas[Valor])+SUMIF(TabelaDespesas[Rubrica],$A77&amp;".",TabelaDespesas[Valor])</f>
        <v>0</v>
      </c>
      <c r="H77" s="91">
        <f t="shared" si="4"/>
        <v>0</v>
      </c>
      <c r="I77" s="78" t="str">
        <f t="shared" si="5"/>
        <v/>
      </c>
      <c r="J77">
        <f>COUNTIF(TabelaDespesas[Rubrica],$K77)+COUNTIF(TabelaDespesas[Rubrica],$A77)+COUNTIF(TabelaDespesas[Rubrica],$A77&amp;".")</f>
        <v>0</v>
      </c>
      <c r="K77" s="77" t="s">
        <v>617</v>
      </c>
      <c r="M77" s="77" t="s">
        <v>631</v>
      </c>
    </row>
    <row r="78" spans="1:13" x14ac:dyDescent="0.3">
      <c r="A78" s="77" t="s">
        <v>322</v>
      </c>
      <c r="B78" t="s">
        <v>123</v>
      </c>
      <c r="C78">
        <v>9</v>
      </c>
      <c r="D78">
        <v>3</v>
      </c>
      <c r="E78" t="s">
        <v>525</v>
      </c>
      <c r="F78" s="91">
        <v>5499.862000000001</v>
      </c>
      <c r="G78" s="91">
        <f>SUMIF(TabelaDespesas[Rubrica],$K78,TabelaDespesas[Valor])+SUMIF(TabelaDespesas[Rubrica],$A78,TabelaDespesas[Valor])+SUMIF(TabelaDespesas[Rubrica],$A78&amp;".",TabelaDespesas[Valor])</f>
        <v>0</v>
      </c>
      <c r="H78" s="91">
        <f t="shared" si="4"/>
        <v>5499.862000000001</v>
      </c>
      <c r="I78" s="78">
        <f t="shared" si="5"/>
        <v>0</v>
      </c>
      <c r="J78">
        <f>COUNTIF(TabelaDespesas[Rubrica],$K78)+COUNTIF(TabelaDespesas[Rubrica],$A78)+COUNTIF(TabelaDespesas[Rubrica],$A78&amp;".")</f>
        <v>0</v>
      </c>
      <c r="K78" s="77" t="s">
        <v>618</v>
      </c>
      <c r="M78" s="77" t="s">
        <v>632</v>
      </c>
    </row>
    <row r="79" spans="1:13" x14ac:dyDescent="0.3">
      <c r="A79" s="77" t="s">
        <v>323</v>
      </c>
      <c r="B79" t="s">
        <v>124</v>
      </c>
      <c r="C79">
        <v>9</v>
      </c>
      <c r="D79">
        <v>3</v>
      </c>
      <c r="E79" t="s">
        <v>525</v>
      </c>
      <c r="F79" s="91">
        <v>2607.5350000000003</v>
      </c>
      <c r="G79" s="91">
        <f>SUMIF(TabelaDespesas[Rubrica],$K79,TabelaDespesas[Valor])+SUMIF(TabelaDespesas[Rubrica],$A79,TabelaDespesas[Valor])+SUMIF(TabelaDespesas[Rubrica],$A79&amp;".",TabelaDespesas[Valor])</f>
        <v>0</v>
      </c>
      <c r="H79" s="91">
        <f t="shared" si="4"/>
        <v>2607.5350000000003</v>
      </c>
      <c r="I79" s="78">
        <f t="shared" si="5"/>
        <v>0</v>
      </c>
      <c r="J79">
        <f>COUNTIF(TabelaDespesas[Rubrica],$K79)+COUNTIF(TabelaDespesas[Rubrica],$A79)+COUNTIF(TabelaDespesas[Rubrica],$A79&amp;".")</f>
        <v>0</v>
      </c>
      <c r="K79" s="77" t="s">
        <v>619</v>
      </c>
      <c r="M79" s="77" t="s">
        <v>635</v>
      </c>
    </row>
    <row r="80" spans="1:13" x14ac:dyDescent="0.3">
      <c r="A80" s="77" t="s">
        <v>324</v>
      </c>
      <c r="B80" t="s">
        <v>125</v>
      </c>
      <c r="C80">
        <v>9</v>
      </c>
      <c r="D80">
        <v>3</v>
      </c>
      <c r="E80" t="s">
        <v>525</v>
      </c>
      <c r="F80" s="91">
        <v>237.44900000000001</v>
      </c>
      <c r="G80" s="91">
        <f>SUMIF(TabelaDespesas[Rubrica],$K80,TabelaDespesas[Valor])+SUMIF(TabelaDespesas[Rubrica],$A80,TabelaDespesas[Valor])+SUMIF(TabelaDespesas[Rubrica],$A80&amp;".",TabelaDespesas[Valor])</f>
        <v>0</v>
      </c>
      <c r="H80" s="91">
        <f t="shared" si="4"/>
        <v>237.44900000000001</v>
      </c>
      <c r="I80" s="78">
        <f t="shared" si="5"/>
        <v>0</v>
      </c>
      <c r="J80">
        <f>COUNTIF(TabelaDespesas[Rubrica],$K80)+COUNTIF(TabelaDespesas[Rubrica],$A80)+COUNTIF(TabelaDespesas[Rubrica],$A80&amp;".")</f>
        <v>0</v>
      </c>
      <c r="K80" s="77" t="s">
        <v>620</v>
      </c>
      <c r="M80" s="77" t="s">
        <v>637</v>
      </c>
    </row>
    <row r="81" spans="1:13" x14ac:dyDescent="0.3">
      <c r="A81" s="77" t="s">
        <v>325</v>
      </c>
      <c r="B81" t="s">
        <v>126</v>
      </c>
      <c r="C81">
        <v>9</v>
      </c>
      <c r="D81">
        <v>3</v>
      </c>
      <c r="E81" t="s">
        <v>525</v>
      </c>
      <c r="F81" s="91">
        <v>3573.6625000000004</v>
      </c>
      <c r="G81" s="91">
        <f>SUMIF(TabelaDespesas[Rubrica],$K81,TabelaDespesas[Valor])+SUMIF(TabelaDespesas[Rubrica],$A81,TabelaDespesas[Valor])+SUMIF(TabelaDespesas[Rubrica],$A81&amp;".",TabelaDespesas[Valor])</f>
        <v>0</v>
      </c>
      <c r="H81" s="91">
        <f t="shared" si="4"/>
        <v>3573.6625000000004</v>
      </c>
      <c r="I81" s="78">
        <f t="shared" si="5"/>
        <v>0</v>
      </c>
      <c r="J81">
        <f>COUNTIF(TabelaDespesas[Rubrica],$K81)+COUNTIF(TabelaDespesas[Rubrica],$A81)+COUNTIF(TabelaDespesas[Rubrica],$A81&amp;".")</f>
        <v>0</v>
      </c>
      <c r="K81" s="77" t="s">
        <v>621</v>
      </c>
      <c r="M81" s="77" t="s">
        <v>638</v>
      </c>
    </row>
    <row r="82" spans="1:13" x14ac:dyDescent="0.3">
      <c r="A82" s="77" t="s">
        <v>326</v>
      </c>
      <c r="B82" t="s">
        <v>127</v>
      </c>
      <c r="C82">
        <v>9</v>
      </c>
      <c r="D82">
        <v>2</v>
      </c>
      <c r="E82" t="s">
        <v>525</v>
      </c>
      <c r="F82" s="91">
        <v>9616.7735999999986</v>
      </c>
      <c r="G82" s="91">
        <f>SUMIF(TabelaDespesas[Rubrica],$K82,TabelaDespesas[Valor])+SUMIF(TabelaDespesas[Rubrica],$A82,TabelaDespesas[Valor])+SUMIF(TabelaDespesas[Rubrica],$A82&amp;".",TabelaDespesas[Valor])</f>
        <v>0</v>
      </c>
      <c r="H82" s="91">
        <f t="shared" si="4"/>
        <v>9616.7735999999986</v>
      </c>
      <c r="I82" s="78">
        <f t="shared" si="5"/>
        <v>0</v>
      </c>
      <c r="J82">
        <f>COUNTIF(TabelaDespesas[Rubrica],$K82)+COUNTIF(TabelaDespesas[Rubrica],$A82)+COUNTIF(TabelaDespesas[Rubrica],$A82&amp;".")</f>
        <v>0</v>
      </c>
      <c r="K82" s="77" t="s">
        <v>622</v>
      </c>
      <c r="M82" s="77" t="s">
        <v>639</v>
      </c>
    </row>
    <row r="83" spans="1:13" x14ac:dyDescent="0.3">
      <c r="A83" s="77" t="s">
        <v>327</v>
      </c>
      <c r="B83" t="s">
        <v>128</v>
      </c>
      <c r="C83">
        <v>9</v>
      </c>
      <c r="D83">
        <v>2</v>
      </c>
      <c r="E83" t="s">
        <v>525</v>
      </c>
      <c r="F83" s="91">
        <v>646.38</v>
      </c>
      <c r="G83" s="91">
        <f>SUMIF(TabelaDespesas[Rubrica],$K83,TabelaDespesas[Valor])+SUMIF(TabelaDespesas[Rubrica],$A83,TabelaDespesas[Valor])+SUMIF(TabelaDespesas[Rubrica],$A83&amp;".",TabelaDespesas[Valor])</f>
        <v>0</v>
      </c>
      <c r="H83" s="91">
        <f t="shared" si="4"/>
        <v>646.38</v>
      </c>
      <c r="I83" s="78">
        <f t="shared" si="5"/>
        <v>0</v>
      </c>
      <c r="J83">
        <f>COUNTIF(TabelaDespesas[Rubrica],$K83)+COUNTIF(TabelaDespesas[Rubrica],$A83)+COUNTIF(TabelaDespesas[Rubrica],$A83&amp;".")</f>
        <v>0</v>
      </c>
      <c r="K83" s="77" t="s">
        <v>623</v>
      </c>
      <c r="M83" s="77" t="s">
        <v>641</v>
      </c>
    </row>
    <row r="84" spans="1:13" x14ac:dyDescent="0.3">
      <c r="A84" s="77" t="s">
        <v>328</v>
      </c>
      <c r="B84" t="s">
        <v>130</v>
      </c>
      <c r="C84">
        <v>9</v>
      </c>
      <c r="D84">
        <v>2</v>
      </c>
      <c r="E84" t="s">
        <v>525</v>
      </c>
      <c r="F84" s="91">
        <v>54261.414599999996</v>
      </c>
      <c r="G84" s="91">
        <f>SUMIF(TabelaDespesas[Rubrica],$K84,TabelaDespesas[Valor])+SUMIF(TabelaDespesas[Rubrica],$A84,TabelaDespesas[Valor])+SUMIF(TabelaDespesas[Rubrica],$A84&amp;".",TabelaDespesas[Valor])</f>
        <v>0</v>
      </c>
      <c r="H84" s="91">
        <f t="shared" si="4"/>
        <v>54261.414599999996</v>
      </c>
      <c r="I84" s="78">
        <f t="shared" si="5"/>
        <v>0</v>
      </c>
      <c r="J84">
        <f>COUNTIF(TabelaDespesas[Rubrica],$K84)+COUNTIF(TabelaDespesas[Rubrica],$A84)+COUNTIF(TabelaDespesas[Rubrica],$A84&amp;".")</f>
        <v>0</v>
      </c>
      <c r="K84" s="77" t="s">
        <v>624</v>
      </c>
      <c r="M84" s="77" t="s">
        <v>643</v>
      </c>
    </row>
    <row r="85" spans="1:13" x14ac:dyDescent="0.3">
      <c r="A85" s="77" t="s">
        <v>329</v>
      </c>
      <c r="B85" t="s">
        <v>131</v>
      </c>
      <c r="C85">
        <v>9</v>
      </c>
      <c r="D85">
        <v>2</v>
      </c>
      <c r="E85" t="s">
        <v>525</v>
      </c>
      <c r="F85" s="91">
        <v>16270.6577</v>
      </c>
      <c r="G85" s="91">
        <f>SUMIF(TabelaDespesas[Rubrica],$K85,TabelaDespesas[Valor])+SUMIF(TabelaDespesas[Rubrica],$A85,TabelaDespesas[Valor])+SUMIF(TabelaDespesas[Rubrica],$A85&amp;".",TabelaDespesas[Valor])</f>
        <v>0</v>
      </c>
      <c r="H85" s="91">
        <f t="shared" si="4"/>
        <v>16270.6577</v>
      </c>
      <c r="I85" s="78">
        <f t="shared" si="5"/>
        <v>0</v>
      </c>
      <c r="J85">
        <f>COUNTIF(TabelaDespesas[Rubrica],$K85)+COUNTIF(TabelaDespesas[Rubrica],$A85)+COUNTIF(TabelaDespesas[Rubrica],$A85&amp;".")</f>
        <v>0</v>
      </c>
      <c r="K85" s="77" t="s">
        <v>625</v>
      </c>
      <c r="M85" s="77" t="s">
        <v>644</v>
      </c>
    </row>
    <row r="86" spans="1:13" x14ac:dyDescent="0.3">
      <c r="A86" s="77" t="s">
        <v>330</v>
      </c>
      <c r="B86" t="s">
        <v>132</v>
      </c>
      <c r="C86">
        <v>9</v>
      </c>
      <c r="D86">
        <v>2</v>
      </c>
      <c r="E86" t="s">
        <v>525</v>
      </c>
      <c r="F86" s="91">
        <v>261.67840000000001</v>
      </c>
      <c r="G86" s="91">
        <f>SUMIF(TabelaDespesas[Rubrica],$K86,TabelaDespesas[Valor])+SUMIF(TabelaDespesas[Rubrica],$A86,TabelaDespesas[Valor])+SUMIF(TabelaDespesas[Rubrica],$A86&amp;".",TabelaDespesas[Valor])</f>
        <v>0</v>
      </c>
      <c r="H86" s="91">
        <f t="shared" si="4"/>
        <v>261.67840000000001</v>
      </c>
      <c r="I86" s="78">
        <f t="shared" si="5"/>
        <v>0</v>
      </c>
      <c r="J86">
        <f>COUNTIF(TabelaDespesas[Rubrica],$K86)+COUNTIF(TabelaDespesas[Rubrica],$A86)+COUNTIF(TabelaDespesas[Rubrica],$A86&amp;".")</f>
        <v>0</v>
      </c>
      <c r="K86" s="77" t="s">
        <v>626</v>
      </c>
      <c r="M86" s="77" t="s">
        <v>645</v>
      </c>
    </row>
    <row r="87" spans="1:13" x14ac:dyDescent="0.3">
      <c r="A87" s="77" t="s">
        <v>331</v>
      </c>
      <c r="B87" t="s">
        <v>134</v>
      </c>
      <c r="C87">
        <v>9</v>
      </c>
      <c r="D87">
        <v>2</v>
      </c>
      <c r="E87" t="s">
        <v>523</v>
      </c>
      <c r="F87" s="91">
        <v>0</v>
      </c>
      <c r="G87" s="91">
        <f>SUMIF(TabelaDespesas[Rubrica],$K87,TabelaDespesas[Valor])+SUMIF(TabelaDespesas[Rubrica],$A87,TabelaDespesas[Valor])+SUMIF(TabelaDespesas[Rubrica],$A87&amp;".",TabelaDespesas[Valor])</f>
        <v>0</v>
      </c>
      <c r="H87" s="91">
        <f t="shared" si="4"/>
        <v>0</v>
      </c>
      <c r="I87" s="78" t="str">
        <f t="shared" si="5"/>
        <v/>
      </c>
      <c r="J87">
        <f>COUNTIF(TabelaDespesas[Rubrica],$K87)+COUNTIF(TabelaDespesas[Rubrica],$A87)+COUNTIF(TabelaDespesas[Rubrica],$A87&amp;".")</f>
        <v>0</v>
      </c>
      <c r="K87" s="77" t="s">
        <v>627</v>
      </c>
      <c r="M87" s="77" t="s">
        <v>646</v>
      </c>
    </row>
    <row r="88" spans="1:13" x14ac:dyDescent="0.3">
      <c r="A88" s="79" t="s">
        <v>628</v>
      </c>
      <c r="B88" s="71" t="s">
        <v>153</v>
      </c>
      <c r="C88" s="71">
        <v>10</v>
      </c>
      <c r="D88" s="71">
        <v>1</v>
      </c>
      <c r="E88" s="71" t="s">
        <v>520</v>
      </c>
      <c r="F88" s="73">
        <v>57407.268700000001</v>
      </c>
      <c r="G88" s="73">
        <f>SUMIF(TabelaDespesas[Rubrica],$K88,TabelaDespesas[Valor])+SUMIF(TabelaDespesas[Rubrica],$A88,TabelaDespesas[Valor])+SUMIF(TabelaDespesas[Rubrica],$A88&amp;".",TabelaDespesas[Valor])</f>
        <v>0</v>
      </c>
      <c r="H88" s="73">
        <f t="shared" si="4"/>
        <v>57407.268700000001</v>
      </c>
      <c r="I88" s="95">
        <f t="shared" si="5"/>
        <v>0</v>
      </c>
      <c r="J88" s="71">
        <f>COUNTIF(TabelaDespesas[Rubrica],$K88)+COUNTIF(TabelaDespesas[Rubrica],$A88)+COUNTIF(TabelaDespesas[Rubrica],$A88&amp;".")</f>
        <v>0</v>
      </c>
      <c r="K88" s="79" t="s">
        <v>629</v>
      </c>
      <c r="M88" s="77" t="s">
        <v>647</v>
      </c>
    </row>
    <row r="89" spans="1:13" x14ac:dyDescent="0.3">
      <c r="A89" s="77" t="s">
        <v>149</v>
      </c>
      <c r="B89" t="s">
        <v>138</v>
      </c>
      <c r="C89">
        <v>10</v>
      </c>
      <c r="D89">
        <v>2</v>
      </c>
      <c r="E89" t="s">
        <v>525</v>
      </c>
      <c r="F89" s="91">
        <v>52810.593700000005</v>
      </c>
      <c r="G89" s="91">
        <f>SUMIF(TabelaDespesas[Rubrica],$K89,TabelaDespesas[Valor])+SUMIF(TabelaDespesas[Rubrica],$A89,TabelaDespesas[Valor])+SUMIF(TabelaDespesas[Rubrica],$A89&amp;".",TabelaDespesas[Valor])</f>
        <v>0</v>
      </c>
      <c r="H89" s="91">
        <f t="shared" si="4"/>
        <v>52810.593700000005</v>
      </c>
      <c r="I89" s="78">
        <f t="shared" si="5"/>
        <v>0</v>
      </c>
      <c r="J89">
        <f>COUNTIF(TabelaDespesas[Rubrica],$K89)+COUNTIF(TabelaDespesas[Rubrica],$A89)+COUNTIF(TabelaDespesas[Rubrica],$A89&amp;".")</f>
        <v>0</v>
      </c>
      <c r="K89" s="77" t="s">
        <v>630</v>
      </c>
      <c r="M89" s="77" t="s">
        <v>649</v>
      </c>
    </row>
    <row r="90" spans="1:13" x14ac:dyDescent="0.3">
      <c r="A90" s="77" t="s">
        <v>150</v>
      </c>
      <c r="B90" t="s">
        <v>140</v>
      </c>
      <c r="C90">
        <v>10</v>
      </c>
      <c r="D90">
        <v>2</v>
      </c>
      <c r="E90" t="s">
        <v>525</v>
      </c>
      <c r="F90" s="91">
        <v>2356.4476</v>
      </c>
      <c r="G90" s="91">
        <f>SUMIF(TabelaDespesas[Rubrica],$K90,TabelaDespesas[Valor])+SUMIF(TabelaDespesas[Rubrica],$A90,TabelaDespesas[Valor])+SUMIF(TabelaDespesas[Rubrica],$A90&amp;".",TabelaDespesas[Valor])</f>
        <v>0</v>
      </c>
      <c r="H90" s="91">
        <f t="shared" si="4"/>
        <v>2356.4476</v>
      </c>
      <c r="I90" s="78">
        <f t="shared" si="5"/>
        <v>0</v>
      </c>
      <c r="J90">
        <f>COUNTIF(TabelaDespesas[Rubrica],$K90)+COUNTIF(TabelaDespesas[Rubrica],$A90)+COUNTIF(TabelaDespesas[Rubrica],$A90&amp;".")</f>
        <v>0</v>
      </c>
      <c r="K90" s="77" t="s">
        <v>631</v>
      </c>
      <c r="M90" s="77" t="s">
        <v>650</v>
      </c>
    </row>
    <row r="91" spans="1:13" x14ac:dyDescent="0.3">
      <c r="A91" s="77" t="s">
        <v>332</v>
      </c>
      <c r="B91" t="s">
        <v>142</v>
      </c>
      <c r="C91">
        <v>10</v>
      </c>
      <c r="D91">
        <v>2</v>
      </c>
      <c r="E91" t="s">
        <v>525</v>
      </c>
      <c r="F91" s="91">
        <v>784.23739999999998</v>
      </c>
      <c r="G91" s="91">
        <f>SUMIF(TabelaDespesas[Rubrica],$K91,TabelaDespesas[Valor])+SUMIF(TabelaDespesas[Rubrica],$A91,TabelaDespesas[Valor])+SUMIF(TabelaDespesas[Rubrica],$A91&amp;".",TabelaDespesas[Valor])</f>
        <v>0</v>
      </c>
      <c r="H91" s="91">
        <f t="shared" si="4"/>
        <v>784.23739999999998</v>
      </c>
      <c r="I91" s="78">
        <f t="shared" si="5"/>
        <v>0</v>
      </c>
      <c r="J91">
        <f>COUNTIF(TabelaDespesas[Rubrica],$K91)+COUNTIF(TabelaDespesas[Rubrica],$A91)+COUNTIF(TabelaDespesas[Rubrica],$A91&amp;".")</f>
        <v>0</v>
      </c>
      <c r="K91" s="77" t="s">
        <v>632</v>
      </c>
      <c r="M91" s="77" t="s">
        <v>651</v>
      </c>
    </row>
    <row r="92" spans="1:13" x14ac:dyDescent="0.3">
      <c r="A92" s="77" t="s">
        <v>333</v>
      </c>
      <c r="B92" t="s">
        <v>144</v>
      </c>
      <c r="C92">
        <v>10</v>
      </c>
      <c r="D92">
        <v>2</v>
      </c>
      <c r="E92" t="s">
        <v>523</v>
      </c>
      <c r="F92" s="91">
        <v>0</v>
      </c>
      <c r="G92" s="91">
        <f>SUMIF(TabelaDespesas[Rubrica],$K92,TabelaDespesas[Valor])+SUMIF(TabelaDespesas[Rubrica],$A92,TabelaDespesas[Valor])+SUMIF(TabelaDespesas[Rubrica],$A92&amp;".",TabelaDespesas[Valor])</f>
        <v>0</v>
      </c>
      <c r="H92" s="91">
        <f t="shared" si="4"/>
        <v>0</v>
      </c>
      <c r="I92" s="78" t="str">
        <f t="shared" si="5"/>
        <v/>
      </c>
      <c r="J92">
        <f>COUNTIF(TabelaDespesas[Rubrica],$K92)+COUNTIF(TabelaDespesas[Rubrica],$A92)+COUNTIF(TabelaDespesas[Rubrica],$A92&amp;".")</f>
        <v>0</v>
      </c>
      <c r="K92" s="77" t="s">
        <v>633</v>
      </c>
      <c r="M92" s="77" t="s">
        <v>653</v>
      </c>
    </row>
    <row r="93" spans="1:13" x14ac:dyDescent="0.3">
      <c r="A93" s="77" t="s">
        <v>334</v>
      </c>
      <c r="B93" t="s">
        <v>105</v>
      </c>
      <c r="C93">
        <v>10</v>
      </c>
      <c r="D93">
        <v>2</v>
      </c>
      <c r="E93" t="s">
        <v>523</v>
      </c>
      <c r="F93" s="91">
        <v>0</v>
      </c>
      <c r="G93" s="91">
        <f>SUMIF(TabelaDespesas[Rubrica],$K93,TabelaDespesas[Valor])+SUMIF(TabelaDespesas[Rubrica],$A93,TabelaDespesas[Valor])+SUMIF(TabelaDespesas[Rubrica],$A93&amp;".",TabelaDespesas[Valor])</f>
        <v>0</v>
      </c>
      <c r="H93" s="91">
        <f t="shared" si="4"/>
        <v>0</v>
      </c>
      <c r="I93" s="78" t="str">
        <f t="shared" si="5"/>
        <v/>
      </c>
      <c r="J93">
        <f>COUNTIF(TabelaDespesas[Rubrica],$K93)+COUNTIF(TabelaDespesas[Rubrica],$A93)+COUNTIF(TabelaDespesas[Rubrica],$A93&amp;".")</f>
        <v>0</v>
      </c>
      <c r="K93" s="77" t="s">
        <v>634</v>
      </c>
      <c r="M93" s="77" t="s">
        <v>655</v>
      </c>
    </row>
    <row r="94" spans="1:13" x14ac:dyDescent="0.3">
      <c r="A94" s="77" t="s">
        <v>335</v>
      </c>
      <c r="B94" t="s">
        <v>147</v>
      </c>
      <c r="C94">
        <v>10</v>
      </c>
      <c r="D94">
        <v>2</v>
      </c>
      <c r="E94" t="s">
        <v>525</v>
      </c>
      <c r="F94" s="91">
        <v>1455.99</v>
      </c>
      <c r="G94" s="91">
        <f>SUMIF(TabelaDespesas[Rubrica],$K94,TabelaDespesas[Valor])+SUMIF(TabelaDespesas[Rubrica],$A94,TabelaDespesas[Valor])+SUMIF(TabelaDespesas[Rubrica],$A94&amp;".",TabelaDespesas[Valor])</f>
        <v>0</v>
      </c>
      <c r="H94" s="91">
        <f t="shared" si="4"/>
        <v>1455.99</v>
      </c>
      <c r="I94" s="78">
        <f t="shared" si="5"/>
        <v>0</v>
      </c>
      <c r="J94">
        <f>COUNTIF(TabelaDespesas[Rubrica],$K94)+COUNTIF(TabelaDespesas[Rubrica],$A94)+COUNTIF(TabelaDespesas[Rubrica],$A94&amp;".")</f>
        <v>0</v>
      </c>
      <c r="K94" s="77" t="s">
        <v>635</v>
      </c>
      <c r="M94" s="77" t="s">
        <v>657</v>
      </c>
    </row>
    <row r="95" spans="1:13" x14ac:dyDescent="0.3">
      <c r="A95" s="79" t="s">
        <v>636</v>
      </c>
      <c r="B95" s="71" t="s">
        <v>154</v>
      </c>
      <c r="C95" s="71">
        <v>11</v>
      </c>
      <c r="D95" s="71">
        <v>1</v>
      </c>
      <c r="E95" s="71" t="s">
        <v>520</v>
      </c>
      <c r="F95" s="73">
        <v>7915.2083999999995</v>
      </c>
      <c r="G95" s="73">
        <f>SUMIF(TabelaDespesas[Rubrica],$K95,TabelaDespesas[Valor])+SUMIF(TabelaDespesas[Rubrica],$A95,TabelaDespesas[Valor])+SUMIF(TabelaDespesas[Rubrica],$A95&amp;".",TabelaDespesas[Valor])</f>
        <v>0</v>
      </c>
      <c r="H95" s="73">
        <f t="shared" si="4"/>
        <v>7915.2083999999995</v>
      </c>
      <c r="I95" s="95">
        <f t="shared" si="5"/>
        <v>0</v>
      </c>
      <c r="J95" s="71">
        <f>COUNTIF(TabelaDespesas[Rubrica],$K95)+COUNTIF(TabelaDespesas[Rubrica],$A95)+COUNTIF(TabelaDespesas[Rubrica],$A95&amp;".")</f>
        <v>0</v>
      </c>
      <c r="K95" s="79" t="s">
        <v>637</v>
      </c>
      <c r="M95" s="77" t="s">
        <v>658</v>
      </c>
    </row>
    <row r="96" spans="1:13" x14ac:dyDescent="0.3">
      <c r="A96" s="77" t="s">
        <v>159</v>
      </c>
      <c r="B96" t="s">
        <v>155</v>
      </c>
      <c r="C96">
        <v>11</v>
      </c>
      <c r="D96">
        <v>2</v>
      </c>
      <c r="E96" t="s">
        <v>525</v>
      </c>
      <c r="F96" s="91">
        <v>7442.6495999999997</v>
      </c>
      <c r="G96" s="91">
        <f>SUMIF(TabelaDespesas[Rubrica],$K96,TabelaDespesas[Valor])+SUMIF(TabelaDespesas[Rubrica],$A96,TabelaDespesas[Valor])+SUMIF(TabelaDespesas[Rubrica],$A96&amp;".",TabelaDespesas[Valor])</f>
        <v>0</v>
      </c>
      <c r="H96" s="91">
        <f t="shared" si="4"/>
        <v>7442.6495999999997</v>
      </c>
      <c r="I96" s="78">
        <f t="shared" si="5"/>
        <v>0</v>
      </c>
      <c r="J96">
        <f>COUNTIF(TabelaDespesas[Rubrica],$K96)+COUNTIF(TabelaDespesas[Rubrica],$A96)+COUNTIF(TabelaDespesas[Rubrica],$A96&amp;".")</f>
        <v>0</v>
      </c>
      <c r="K96" s="77" t="s">
        <v>638</v>
      </c>
      <c r="M96" s="77" t="s">
        <v>659</v>
      </c>
    </row>
    <row r="97" spans="1:13" x14ac:dyDescent="0.3">
      <c r="A97" s="77" t="s">
        <v>163</v>
      </c>
      <c r="B97" t="s">
        <v>156</v>
      </c>
      <c r="C97">
        <v>11</v>
      </c>
      <c r="D97">
        <v>2</v>
      </c>
      <c r="E97" t="s">
        <v>525</v>
      </c>
      <c r="F97" s="91">
        <v>472.55880000000002</v>
      </c>
      <c r="G97" s="91">
        <f>SUMIF(TabelaDespesas[Rubrica],$K97,TabelaDespesas[Valor])+SUMIF(TabelaDespesas[Rubrica],$A97,TabelaDespesas[Valor])+SUMIF(TabelaDespesas[Rubrica],$A97&amp;".",TabelaDespesas[Valor])</f>
        <v>0</v>
      </c>
      <c r="H97" s="91">
        <f t="shared" si="4"/>
        <v>472.55880000000002</v>
      </c>
      <c r="I97" s="78">
        <f t="shared" si="5"/>
        <v>0</v>
      </c>
      <c r="J97">
        <f>COUNTIF(TabelaDespesas[Rubrica],$K97)+COUNTIF(TabelaDespesas[Rubrica],$A97)+COUNTIF(TabelaDespesas[Rubrica],$A97&amp;".")</f>
        <v>0</v>
      </c>
      <c r="K97" s="77" t="s">
        <v>639</v>
      </c>
      <c r="M97" s="77" t="s">
        <v>660</v>
      </c>
    </row>
    <row r="98" spans="1:13" x14ac:dyDescent="0.3">
      <c r="A98" s="79" t="s">
        <v>640</v>
      </c>
      <c r="B98" s="71" t="s">
        <v>152</v>
      </c>
      <c r="C98" s="71">
        <v>12</v>
      </c>
      <c r="D98" s="71">
        <v>1</v>
      </c>
      <c r="E98" s="71" t="s">
        <v>520</v>
      </c>
      <c r="F98" s="73">
        <v>94494.937399999995</v>
      </c>
      <c r="G98" s="73">
        <f>SUMIF(TabelaDespesas[Rubrica],$K98,TabelaDespesas[Valor])+SUMIF(TabelaDespesas[Rubrica],$A98,TabelaDespesas[Valor])+SUMIF(TabelaDespesas[Rubrica],$A98&amp;".",TabelaDespesas[Valor])</f>
        <v>0</v>
      </c>
      <c r="H98" s="73">
        <f t="shared" ref="H98:H129" si="6">F98-G98</f>
        <v>94494.937399999995</v>
      </c>
      <c r="I98" s="95">
        <f t="shared" ref="I98:I129" si="7">IF(F98=0,"",G98/F98)</f>
        <v>0</v>
      </c>
      <c r="J98" s="71">
        <f>COUNTIF(TabelaDespesas[Rubrica],$K98)+COUNTIF(TabelaDespesas[Rubrica],$A98)+COUNTIF(TabelaDespesas[Rubrica],$A98&amp;".")</f>
        <v>0</v>
      </c>
      <c r="K98" s="79" t="s">
        <v>641</v>
      </c>
      <c r="M98" s="77" t="s">
        <v>661</v>
      </c>
    </row>
    <row r="99" spans="1:13" x14ac:dyDescent="0.3">
      <c r="A99" s="77" t="s">
        <v>173</v>
      </c>
      <c r="B99" t="s">
        <v>158</v>
      </c>
      <c r="C99">
        <v>12</v>
      </c>
      <c r="D99">
        <v>2</v>
      </c>
      <c r="E99" t="s">
        <v>523</v>
      </c>
      <c r="F99" s="91">
        <v>0</v>
      </c>
      <c r="G99" s="91">
        <f>SUMIF(TabelaDespesas[Rubrica],$K99,TabelaDespesas[Valor])+SUMIF(TabelaDespesas[Rubrica],$A99,TabelaDespesas[Valor])+SUMIF(TabelaDespesas[Rubrica],$A99&amp;".",TabelaDespesas[Valor])</f>
        <v>0</v>
      </c>
      <c r="H99" s="91">
        <f t="shared" si="6"/>
        <v>0</v>
      </c>
      <c r="I99" s="78" t="str">
        <f t="shared" si="7"/>
        <v/>
      </c>
      <c r="J99">
        <f>COUNTIF(TabelaDespesas[Rubrica],$K99)+COUNTIF(TabelaDespesas[Rubrica],$A99)+COUNTIF(TabelaDespesas[Rubrica],$A99&amp;".")</f>
        <v>0</v>
      </c>
      <c r="K99" s="77" t="s">
        <v>642</v>
      </c>
      <c r="M99" s="77" t="s">
        <v>662</v>
      </c>
    </row>
    <row r="100" spans="1:13" x14ac:dyDescent="0.3">
      <c r="A100" s="77" t="s">
        <v>174</v>
      </c>
      <c r="B100" t="s">
        <v>160</v>
      </c>
      <c r="C100">
        <v>12</v>
      </c>
      <c r="D100">
        <v>3</v>
      </c>
      <c r="E100" t="s">
        <v>525</v>
      </c>
      <c r="F100" s="91">
        <v>52198.198400000001</v>
      </c>
      <c r="G100" s="91">
        <f>SUMIF(TabelaDespesas[Rubrica],$K100,TabelaDespesas[Valor])+SUMIF(TabelaDespesas[Rubrica],$A100,TabelaDespesas[Valor])+SUMIF(TabelaDespesas[Rubrica],$A100&amp;".",TabelaDespesas[Valor])</f>
        <v>0</v>
      </c>
      <c r="H100" s="91">
        <f t="shared" si="6"/>
        <v>52198.198400000001</v>
      </c>
      <c r="I100" s="78">
        <f t="shared" si="7"/>
        <v>0</v>
      </c>
      <c r="J100">
        <f>COUNTIF(TabelaDespesas[Rubrica],$K100)+COUNTIF(TabelaDespesas[Rubrica],$A100)+COUNTIF(TabelaDespesas[Rubrica],$A100&amp;".")</f>
        <v>0</v>
      </c>
      <c r="K100" s="77" t="s">
        <v>643</v>
      </c>
      <c r="M100" s="77" t="s">
        <v>664</v>
      </c>
    </row>
    <row r="101" spans="1:13" x14ac:dyDescent="0.3">
      <c r="A101" s="77" t="s">
        <v>337</v>
      </c>
      <c r="B101" t="s">
        <v>161</v>
      </c>
      <c r="C101">
        <v>12</v>
      </c>
      <c r="D101">
        <v>3</v>
      </c>
      <c r="E101" t="s">
        <v>525</v>
      </c>
      <c r="F101" s="91">
        <v>4480.9128000000001</v>
      </c>
      <c r="G101" s="91">
        <f>SUMIF(TabelaDespesas[Rubrica],$K101,TabelaDespesas[Valor])+SUMIF(TabelaDespesas[Rubrica],$A101,TabelaDespesas[Valor])+SUMIF(TabelaDespesas[Rubrica],$A101&amp;".",TabelaDespesas[Valor])</f>
        <v>0</v>
      </c>
      <c r="H101" s="91">
        <f t="shared" si="6"/>
        <v>4480.9128000000001</v>
      </c>
      <c r="I101" s="78">
        <f t="shared" si="7"/>
        <v>0</v>
      </c>
      <c r="J101">
        <f>COUNTIF(TabelaDespesas[Rubrica],$K101)+COUNTIF(TabelaDespesas[Rubrica],$A101)+COUNTIF(TabelaDespesas[Rubrica],$A101&amp;".")</f>
        <v>0</v>
      </c>
      <c r="K101" s="77" t="s">
        <v>644</v>
      </c>
      <c r="M101" s="77" t="s">
        <v>665</v>
      </c>
    </row>
    <row r="102" spans="1:13" x14ac:dyDescent="0.3">
      <c r="A102" s="77" t="s">
        <v>338</v>
      </c>
      <c r="B102" t="s">
        <v>162</v>
      </c>
      <c r="C102">
        <v>12</v>
      </c>
      <c r="D102">
        <v>3</v>
      </c>
      <c r="E102" t="s">
        <v>525</v>
      </c>
      <c r="F102" s="91">
        <v>5430.2975999999999</v>
      </c>
      <c r="G102" s="91">
        <f>SUMIF(TabelaDespesas[Rubrica],$K102,TabelaDespesas[Valor])+SUMIF(TabelaDespesas[Rubrica],$A102,TabelaDespesas[Valor])+SUMIF(TabelaDespesas[Rubrica],$A102&amp;".",TabelaDespesas[Valor])</f>
        <v>0</v>
      </c>
      <c r="H102" s="91">
        <f t="shared" si="6"/>
        <v>5430.2975999999999</v>
      </c>
      <c r="I102" s="78">
        <f t="shared" si="7"/>
        <v>0</v>
      </c>
      <c r="J102">
        <f>COUNTIF(TabelaDespesas[Rubrica],$K102)+COUNTIF(TabelaDespesas[Rubrica],$A102)+COUNTIF(TabelaDespesas[Rubrica],$A102&amp;".")</f>
        <v>0</v>
      </c>
      <c r="K102" s="77" t="s">
        <v>645</v>
      </c>
      <c r="M102" s="77" t="s">
        <v>666</v>
      </c>
    </row>
    <row r="103" spans="1:13" x14ac:dyDescent="0.3">
      <c r="A103" s="77" t="s">
        <v>176</v>
      </c>
      <c r="B103" t="s">
        <v>164</v>
      </c>
      <c r="C103">
        <v>12</v>
      </c>
      <c r="D103">
        <v>2</v>
      </c>
      <c r="E103" t="s">
        <v>525</v>
      </c>
      <c r="F103" s="91">
        <v>2489.7600000000002</v>
      </c>
      <c r="G103" s="91">
        <f>SUMIF(TabelaDespesas[Rubrica],$K103,TabelaDespesas[Valor])+SUMIF(TabelaDespesas[Rubrica],$A103,TabelaDespesas[Valor])+SUMIF(TabelaDespesas[Rubrica],$A103&amp;".",TabelaDespesas[Valor])</f>
        <v>0</v>
      </c>
      <c r="H103" s="91">
        <f t="shared" si="6"/>
        <v>2489.7600000000002</v>
      </c>
      <c r="I103" s="78">
        <f t="shared" si="7"/>
        <v>0</v>
      </c>
      <c r="J103">
        <f>COUNTIF(TabelaDespesas[Rubrica],$K103)+COUNTIF(TabelaDespesas[Rubrica],$A103)+COUNTIF(TabelaDespesas[Rubrica],$A103&amp;".")</f>
        <v>0</v>
      </c>
      <c r="K103" s="77" t="s">
        <v>646</v>
      </c>
      <c r="M103" s="77" t="s">
        <v>667</v>
      </c>
    </row>
    <row r="104" spans="1:13" x14ac:dyDescent="0.3">
      <c r="A104" s="77" t="s">
        <v>180</v>
      </c>
      <c r="B104" t="s">
        <v>165</v>
      </c>
      <c r="C104">
        <v>12</v>
      </c>
      <c r="D104">
        <v>2</v>
      </c>
      <c r="E104" t="s">
        <v>525</v>
      </c>
      <c r="F104" s="91">
        <v>8412.3616000000002</v>
      </c>
      <c r="G104" s="91">
        <f>SUMIF(TabelaDespesas[Rubrica],$K104,TabelaDespesas[Valor])+SUMIF(TabelaDespesas[Rubrica],$A104,TabelaDespesas[Valor])+SUMIF(TabelaDespesas[Rubrica],$A104&amp;".",TabelaDespesas[Valor])</f>
        <v>0</v>
      </c>
      <c r="H104" s="91">
        <f t="shared" si="6"/>
        <v>8412.3616000000002</v>
      </c>
      <c r="I104" s="78">
        <f t="shared" si="7"/>
        <v>0</v>
      </c>
      <c r="J104">
        <f>COUNTIF(TabelaDespesas[Rubrica],$K104)+COUNTIF(TabelaDespesas[Rubrica],$A104)+COUNTIF(TabelaDespesas[Rubrica],$A104&amp;".")</f>
        <v>0</v>
      </c>
      <c r="K104" s="77" t="s">
        <v>647</v>
      </c>
      <c r="M104" s="77" t="s">
        <v>668</v>
      </c>
    </row>
    <row r="105" spans="1:13" x14ac:dyDescent="0.3">
      <c r="A105" s="77" t="s">
        <v>182</v>
      </c>
      <c r="B105" t="s">
        <v>167</v>
      </c>
      <c r="C105">
        <v>12</v>
      </c>
      <c r="D105">
        <v>2</v>
      </c>
      <c r="E105" t="s">
        <v>523</v>
      </c>
      <c r="F105" s="91">
        <v>0</v>
      </c>
      <c r="G105" s="91">
        <f>SUMIF(TabelaDespesas[Rubrica],$K105,TabelaDespesas[Valor])+SUMIF(TabelaDespesas[Rubrica],$A105,TabelaDespesas[Valor])+SUMIF(TabelaDespesas[Rubrica],$A105&amp;".",TabelaDespesas[Valor])</f>
        <v>0</v>
      </c>
      <c r="H105" s="91">
        <f t="shared" si="6"/>
        <v>0</v>
      </c>
      <c r="I105" s="78" t="str">
        <f t="shared" si="7"/>
        <v/>
      </c>
      <c r="J105">
        <f>COUNTIF(TabelaDespesas[Rubrica],$K105)+COUNTIF(TabelaDespesas[Rubrica],$A105)+COUNTIF(TabelaDespesas[Rubrica],$A105&amp;".")</f>
        <v>0</v>
      </c>
      <c r="K105" s="77" t="s">
        <v>648</v>
      </c>
      <c r="M105" s="77" t="s">
        <v>670</v>
      </c>
    </row>
    <row r="106" spans="1:13" x14ac:dyDescent="0.3">
      <c r="A106" s="77" t="s">
        <v>339</v>
      </c>
      <c r="B106" t="s">
        <v>168</v>
      </c>
      <c r="C106">
        <v>12</v>
      </c>
      <c r="D106">
        <v>3</v>
      </c>
      <c r="E106" t="s">
        <v>525</v>
      </c>
      <c r="F106" s="91">
        <v>4914</v>
      </c>
      <c r="G106" s="91">
        <f>SUMIF(TabelaDespesas[Rubrica],$K106,TabelaDespesas[Valor])+SUMIF(TabelaDespesas[Rubrica],$A106,TabelaDespesas[Valor])+SUMIF(TabelaDespesas[Rubrica],$A106&amp;".",TabelaDespesas[Valor])</f>
        <v>0</v>
      </c>
      <c r="H106" s="91">
        <f t="shared" si="6"/>
        <v>4914</v>
      </c>
      <c r="I106" s="78">
        <f t="shared" si="7"/>
        <v>0</v>
      </c>
      <c r="J106">
        <f>COUNTIF(TabelaDespesas[Rubrica],$K106)+COUNTIF(TabelaDespesas[Rubrica],$A106)+COUNTIF(TabelaDespesas[Rubrica],$A106&amp;".")</f>
        <v>0</v>
      </c>
      <c r="K106" s="77" t="s">
        <v>649</v>
      </c>
      <c r="M106" s="77" t="s">
        <v>672</v>
      </c>
    </row>
    <row r="107" spans="1:13" x14ac:dyDescent="0.3">
      <c r="A107" s="77" t="s">
        <v>184</v>
      </c>
      <c r="B107" t="s">
        <v>169</v>
      </c>
      <c r="C107">
        <v>12</v>
      </c>
      <c r="D107">
        <v>2</v>
      </c>
      <c r="E107" t="s">
        <v>525</v>
      </c>
      <c r="F107" s="91">
        <v>8084.7070000000003</v>
      </c>
      <c r="G107" s="91">
        <f>SUMIF(TabelaDespesas[Rubrica],$K107,TabelaDespesas[Valor])+SUMIF(TabelaDespesas[Rubrica],$A107,TabelaDespesas[Valor])+SUMIF(TabelaDespesas[Rubrica],$A107&amp;".",TabelaDespesas[Valor])</f>
        <v>0</v>
      </c>
      <c r="H107" s="91">
        <f t="shared" si="6"/>
        <v>8084.7070000000003</v>
      </c>
      <c r="I107" s="78">
        <f t="shared" si="7"/>
        <v>0</v>
      </c>
      <c r="J107">
        <f>COUNTIF(TabelaDespesas[Rubrica],$K107)+COUNTIF(TabelaDespesas[Rubrica],$A107)+COUNTIF(TabelaDespesas[Rubrica],$A107&amp;".")</f>
        <v>0</v>
      </c>
      <c r="K107" s="77" t="s">
        <v>650</v>
      </c>
      <c r="M107" s="77" t="s">
        <v>673</v>
      </c>
    </row>
    <row r="108" spans="1:13" x14ac:dyDescent="0.3">
      <c r="A108" s="77" t="s">
        <v>186</v>
      </c>
      <c r="B108" t="s">
        <v>170</v>
      </c>
      <c r="C108">
        <v>12</v>
      </c>
      <c r="D108">
        <v>2</v>
      </c>
      <c r="E108" t="s">
        <v>525</v>
      </c>
      <c r="F108" s="91">
        <v>8484.6999999999989</v>
      </c>
      <c r="G108" s="91">
        <f>SUMIF(TabelaDespesas[Rubrica],$K108,TabelaDespesas[Valor])+SUMIF(TabelaDespesas[Rubrica],$A108,TabelaDespesas[Valor])+SUMIF(TabelaDespesas[Rubrica],$A108&amp;".",TabelaDespesas[Valor])</f>
        <v>0</v>
      </c>
      <c r="H108" s="91">
        <f t="shared" si="6"/>
        <v>8484.6999999999989</v>
      </c>
      <c r="I108" s="78">
        <f t="shared" si="7"/>
        <v>0</v>
      </c>
      <c r="J108">
        <f>COUNTIF(TabelaDespesas[Rubrica],$K108)+COUNTIF(TabelaDespesas[Rubrica],$A108)+COUNTIF(TabelaDespesas[Rubrica],$A108&amp;".")</f>
        <v>0</v>
      </c>
      <c r="K108" s="77" t="s">
        <v>651</v>
      </c>
      <c r="M108" s="77" t="s">
        <v>675</v>
      </c>
    </row>
    <row r="109" spans="1:13" x14ac:dyDescent="0.3">
      <c r="A109" s="79" t="s">
        <v>652</v>
      </c>
      <c r="B109" s="71" t="s">
        <v>171</v>
      </c>
      <c r="C109" s="71">
        <v>13</v>
      </c>
      <c r="D109" s="71">
        <v>1</v>
      </c>
      <c r="E109" s="71" t="s">
        <v>520</v>
      </c>
      <c r="F109" s="73">
        <v>390609.20039999997</v>
      </c>
      <c r="G109" s="73">
        <f>SUMIF(TabelaDespesas[Rubrica],$K109,TabelaDespesas[Valor])+SUMIF(TabelaDespesas[Rubrica],$A109,TabelaDespesas[Valor])+SUMIF(TabelaDespesas[Rubrica],$A109&amp;".",TabelaDespesas[Valor])</f>
        <v>0</v>
      </c>
      <c r="H109" s="73">
        <f t="shared" si="6"/>
        <v>390609.20039999997</v>
      </c>
      <c r="I109" s="95">
        <f t="shared" si="7"/>
        <v>0</v>
      </c>
      <c r="J109" s="71">
        <f>COUNTIF(TabelaDespesas[Rubrica],$K109)+COUNTIF(TabelaDespesas[Rubrica],$A109)+COUNTIF(TabelaDespesas[Rubrica],$A109&amp;".")</f>
        <v>0</v>
      </c>
      <c r="K109" s="79" t="s">
        <v>653</v>
      </c>
      <c r="M109" s="77" t="s">
        <v>676</v>
      </c>
    </row>
    <row r="110" spans="1:13" x14ac:dyDescent="0.3">
      <c r="A110" s="77" t="s">
        <v>196</v>
      </c>
      <c r="B110" t="s">
        <v>172</v>
      </c>
      <c r="C110">
        <v>13</v>
      </c>
      <c r="D110">
        <v>2</v>
      </c>
      <c r="E110" t="s">
        <v>523</v>
      </c>
      <c r="F110" s="91">
        <v>0</v>
      </c>
      <c r="G110" s="91">
        <f>SUMIF(TabelaDespesas[Rubrica],$K110,TabelaDespesas[Valor])+SUMIF(TabelaDespesas[Rubrica],$A110,TabelaDespesas[Valor])+SUMIF(TabelaDespesas[Rubrica],$A110&amp;".",TabelaDespesas[Valor])</f>
        <v>0</v>
      </c>
      <c r="H110" s="91">
        <f t="shared" si="6"/>
        <v>0</v>
      </c>
      <c r="I110" s="78" t="str">
        <f t="shared" si="7"/>
        <v/>
      </c>
      <c r="J110">
        <f>COUNTIF(TabelaDespesas[Rubrica],$K110)+COUNTIF(TabelaDespesas[Rubrica],$A110)+COUNTIF(TabelaDespesas[Rubrica],$A110&amp;".")</f>
        <v>0</v>
      </c>
      <c r="K110" s="77" t="s">
        <v>654</v>
      </c>
      <c r="M110" s="77" t="s">
        <v>677</v>
      </c>
    </row>
    <row r="111" spans="1:13" x14ac:dyDescent="0.3">
      <c r="A111" s="77" t="s">
        <v>340</v>
      </c>
      <c r="B111" t="s">
        <v>175</v>
      </c>
      <c r="C111">
        <v>13</v>
      </c>
      <c r="D111">
        <v>3</v>
      </c>
      <c r="E111" t="s">
        <v>525</v>
      </c>
      <c r="F111" s="91">
        <v>29877.120000000003</v>
      </c>
      <c r="G111" s="91">
        <f>SUMIF(TabelaDespesas[Rubrica],$K111,TabelaDespesas[Valor])+SUMIF(TabelaDespesas[Rubrica],$A111,TabelaDespesas[Valor])+SUMIF(TabelaDespesas[Rubrica],$A111&amp;".",TabelaDespesas[Valor])</f>
        <v>0</v>
      </c>
      <c r="H111" s="91">
        <f t="shared" si="6"/>
        <v>29877.120000000003</v>
      </c>
      <c r="I111" s="78">
        <f t="shared" si="7"/>
        <v>0</v>
      </c>
      <c r="J111">
        <f>COUNTIF(TabelaDespesas[Rubrica],$K111)+COUNTIF(TabelaDespesas[Rubrica],$A111)+COUNTIF(TabelaDespesas[Rubrica],$A111&amp;".")</f>
        <v>0</v>
      </c>
      <c r="K111" s="77" t="s">
        <v>655</v>
      </c>
      <c r="M111" s="77" t="s">
        <v>678</v>
      </c>
    </row>
    <row r="112" spans="1:13" x14ac:dyDescent="0.3">
      <c r="A112" s="77" t="s">
        <v>198</v>
      </c>
      <c r="B112" t="s">
        <v>177</v>
      </c>
      <c r="C112">
        <v>13</v>
      </c>
      <c r="D112">
        <v>2</v>
      </c>
      <c r="E112" t="s">
        <v>523</v>
      </c>
      <c r="F112" s="91">
        <v>0</v>
      </c>
      <c r="G112" s="91">
        <f>SUMIF(TabelaDespesas[Rubrica],$K112,TabelaDespesas[Valor])+SUMIF(TabelaDespesas[Rubrica],$A112,TabelaDespesas[Valor])+SUMIF(TabelaDespesas[Rubrica],$A112&amp;".",TabelaDespesas[Valor])</f>
        <v>0</v>
      </c>
      <c r="H112" s="91">
        <f t="shared" si="6"/>
        <v>0</v>
      </c>
      <c r="I112" s="78" t="str">
        <f t="shared" si="7"/>
        <v/>
      </c>
      <c r="J112">
        <f>COUNTIF(TabelaDespesas[Rubrica],$K112)+COUNTIF(TabelaDespesas[Rubrica],$A112)+COUNTIF(TabelaDespesas[Rubrica],$A112&amp;".")</f>
        <v>0</v>
      </c>
      <c r="K112" s="77" t="s">
        <v>656</v>
      </c>
      <c r="M112" s="77" t="s">
        <v>679</v>
      </c>
    </row>
    <row r="113" spans="1:13" x14ac:dyDescent="0.3">
      <c r="A113" s="77" t="s">
        <v>340</v>
      </c>
      <c r="B113" t="s">
        <v>178</v>
      </c>
      <c r="C113">
        <v>13</v>
      </c>
      <c r="D113">
        <v>3</v>
      </c>
      <c r="E113" t="s">
        <v>525</v>
      </c>
      <c r="F113" s="91">
        <v>31344.559999999998</v>
      </c>
      <c r="G113" s="91">
        <f>SUMIF(TabelaDespesas[Rubrica],$K113,TabelaDespesas[Valor])</f>
        <v>0</v>
      </c>
      <c r="H113" s="91">
        <f t="shared" si="6"/>
        <v>31344.559999999998</v>
      </c>
      <c r="I113" s="78">
        <f t="shared" si="7"/>
        <v>0</v>
      </c>
      <c r="J113">
        <f>COUNTIF(TabelaDespesas[Rubrica],$K113)</f>
        <v>0</v>
      </c>
      <c r="K113" s="77" t="s">
        <v>657</v>
      </c>
      <c r="M113" s="77" t="s">
        <v>680</v>
      </c>
    </row>
    <row r="114" spans="1:13" x14ac:dyDescent="0.3">
      <c r="A114" s="77" t="s">
        <v>341</v>
      </c>
      <c r="B114" t="s">
        <v>179</v>
      </c>
      <c r="C114">
        <v>13</v>
      </c>
      <c r="D114">
        <v>3</v>
      </c>
      <c r="E114" t="s">
        <v>525</v>
      </c>
      <c r="F114" s="91">
        <v>22053.899999999998</v>
      </c>
      <c r="G114" s="91">
        <f>SUMIF(TabelaDespesas[Rubrica],$K114,TabelaDespesas[Valor])+SUMIF(TabelaDespesas[Rubrica],$A114,TabelaDespesas[Valor])+SUMIF(TabelaDespesas[Rubrica],$A114&amp;".",TabelaDespesas[Valor])</f>
        <v>0</v>
      </c>
      <c r="H114" s="91">
        <f t="shared" si="6"/>
        <v>22053.899999999998</v>
      </c>
      <c r="I114" s="78">
        <f t="shared" si="7"/>
        <v>0</v>
      </c>
      <c r="J114">
        <f>COUNTIF(TabelaDespesas[Rubrica],$K114)+COUNTIF(TabelaDespesas[Rubrica],$A114)+COUNTIF(TabelaDespesas[Rubrica],$A114&amp;".")</f>
        <v>0</v>
      </c>
      <c r="K114" s="77" t="s">
        <v>658</v>
      </c>
      <c r="M114" s="77" t="s">
        <v>681</v>
      </c>
    </row>
    <row r="115" spans="1:13" x14ac:dyDescent="0.3">
      <c r="A115" s="77" t="s">
        <v>342</v>
      </c>
      <c r="B115" t="s">
        <v>181</v>
      </c>
      <c r="C115">
        <v>13</v>
      </c>
      <c r="D115">
        <v>2</v>
      </c>
      <c r="E115" t="s">
        <v>525</v>
      </c>
      <c r="F115" s="91">
        <v>76166.4234</v>
      </c>
      <c r="G115" s="91">
        <f>SUMIF(TabelaDespesas[Rubrica],$K115,TabelaDespesas[Valor])+SUMIF(TabelaDespesas[Rubrica],$A115,TabelaDespesas[Valor])+SUMIF(TabelaDespesas[Rubrica],$A115&amp;".",TabelaDespesas[Valor])</f>
        <v>0</v>
      </c>
      <c r="H115" s="91">
        <f t="shared" si="6"/>
        <v>76166.4234</v>
      </c>
      <c r="I115" s="78">
        <f t="shared" si="7"/>
        <v>0</v>
      </c>
      <c r="J115">
        <f>COUNTIF(TabelaDespesas[Rubrica],$K115)+COUNTIF(TabelaDespesas[Rubrica],$A115)+COUNTIF(TabelaDespesas[Rubrica],$A115&amp;".")</f>
        <v>0</v>
      </c>
      <c r="K115" s="77" t="s">
        <v>659</v>
      </c>
      <c r="M115" s="77" t="s">
        <v>682</v>
      </c>
    </row>
    <row r="116" spans="1:13" x14ac:dyDescent="0.3">
      <c r="A116" s="77" t="s">
        <v>343</v>
      </c>
      <c r="B116" t="s">
        <v>183</v>
      </c>
      <c r="C116">
        <v>13</v>
      </c>
      <c r="D116">
        <v>2</v>
      </c>
      <c r="E116" t="s">
        <v>525</v>
      </c>
      <c r="F116" s="91">
        <v>32507.8338</v>
      </c>
      <c r="G116" s="91">
        <f>SUMIF(TabelaDespesas[Rubrica],$K116,TabelaDespesas[Valor])+SUMIF(TabelaDespesas[Rubrica],$A116,TabelaDespesas[Valor])+SUMIF(TabelaDespesas[Rubrica],$A116&amp;".",TabelaDespesas[Valor])</f>
        <v>0</v>
      </c>
      <c r="H116" s="91">
        <f t="shared" si="6"/>
        <v>32507.8338</v>
      </c>
      <c r="I116" s="78">
        <f t="shared" si="7"/>
        <v>0</v>
      </c>
      <c r="J116">
        <f>COUNTIF(TabelaDespesas[Rubrica],$K116)+COUNTIF(TabelaDespesas[Rubrica],$A116)+COUNTIF(TabelaDespesas[Rubrica],$A116&amp;".")</f>
        <v>0</v>
      </c>
      <c r="K116" s="77" t="s">
        <v>660</v>
      </c>
      <c r="M116" s="77" t="s">
        <v>683</v>
      </c>
    </row>
    <row r="117" spans="1:13" x14ac:dyDescent="0.3">
      <c r="A117" s="77" t="s">
        <v>344</v>
      </c>
      <c r="B117" t="s">
        <v>185</v>
      </c>
      <c r="C117">
        <v>13</v>
      </c>
      <c r="D117">
        <v>2</v>
      </c>
      <c r="E117" t="s">
        <v>525</v>
      </c>
      <c r="F117" s="91">
        <v>1063.3084000000001</v>
      </c>
      <c r="G117" s="91">
        <f>SUMIF(TabelaDespesas[Rubrica],$K117,TabelaDespesas[Valor])+SUMIF(TabelaDespesas[Rubrica],$A117,TabelaDespesas[Valor])+SUMIF(TabelaDespesas[Rubrica],$A117&amp;".",TabelaDespesas[Valor])</f>
        <v>0</v>
      </c>
      <c r="H117" s="91">
        <f t="shared" si="6"/>
        <v>1063.3084000000001</v>
      </c>
      <c r="I117" s="78">
        <f t="shared" si="7"/>
        <v>0</v>
      </c>
      <c r="J117">
        <f>COUNTIF(TabelaDespesas[Rubrica],$K117)+COUNTIF(TabelaDespesas[Rubrica],$A117)+COUNTIF(TabelaDespesas[Rubrica],$A117&amp;".")</f>
        <v>0</v>
      </c>
      <c r="K117" s="77" t="s">
        <v>661</v>
      </c>
      <c r="M117" s="77" t="s">
        <v>684</v>
      </c>
    </row>
    <row r="118" spans="1:13" x14ac:dyDescent="0.3">
      <c r="A118" s="77" t="s">
        <v>345</v>
      </c>
      <c r="B118" t="s">
        <v>187</v>
      </c>
      <c r="C118">
        <v>13</v>
      </c>
      <c r="D118">
        <v>2</v>
      </c>
      <c r="E118" t="s">
        <v>525</v>
      </c>
      <c r="F118" s="91">
        <v>3970.9140000000002</v>
      </c>
      <c r="G118" s="91">
        <f>SUMIF(TabelaDespesas[Rubrica],$K118,TabelaDespesas[Valor])+SUMIF(TabelaDespesas[Rubrica],$A118,TabelaDespesas[Valor])+SUMIF(TabelaDespesas[Rubrica],$A118&amp;".",TabelaDespesas[Valor])</f>
        <v>0</v>
      </c>
      <c r="H118" s="91">
        <f t="shared" si="6"/>
        <v>3970.9140000000002</v>
      </c>
      <c r="I118" s="78">
        <f t="shared" si="7"/>
        <v>0</v>
      </c>
      <c r="J118">
        <f>COUNTIF(TabelaDespesas[Rubrica],$K118)+COUNTIF(TabelaDespesas[Rubrica],$A118)+COUNTIF(TabelaDespesas[Rubrica],$A118&amp;".")</f>
        <v>0</v>
      </c>
      <c r="K118" s="77" t="s">
        <v>662</v>
      </c>
      <c r="M118" s="77" t="s">
        <v>685</v>
      </c>
    </row>
    <row r="119" spans="1:13" x14ac:dyDescent="0.3">
      <c r="A119" s="77" t="s">
        <v>346</v>
      </c>
      <c r="B119" t="s">
        <v>188</v>
      </c>
      <c r="C119">
        <v>13</v>
      </c>
      <c r="D119">
        <v>2</v>
      </c>
      <c r="E119" t="s">
        <v>523</v>
      </c>
      <c r="F119" s="91">
        <v>0</v>
      </c>
      <c r="G119" s="91">
        <f>SUMIF(TabelaDespesas[Rubrica],$K119,TabelaDespesas[Valor])+SUMIF(TabelaDespesas[Rubrica],$A119,TabelaDespesas[Valor])+SUMIF(TabelaDespesas[Rubrica],$A119&amp;".",TabelaDespesas[Valor])</f>
        <v>0</v>
      </c>
      <c r="H119" s="91">
        <f t="shared" si="6"/>
        <v>0</v>
      </c>
      <c r="I119" s="78" t="str">
        <f t="shared" si="7"/>
        <v/>
      </c>
      <c r="J119">
        <f>COUNTIF(TabelaDespesas[Rubrica],$K119)+COUNTIF(TabelaDespesas[Rubrica],$A119)+COUNTIF(TabelaDespesas[Rubrica],$A119&amp;".")</f>
        <v>0</v>
      </c>
      <c r="K119" s="77" t="s">
        <v>663</v>
      </c>
      <c r="M119" s="77" t="s">
        <v>687</v>
      </c>
    </row>
    <row r="120" spans="1:13" x14ac:dyDescent="0.3">
      <c r="A120" s="77" t="s">
        <v>347</v>
      </c>
      <c r="B120" t="s">
        <v>189</v>
      </c>
      <c r="C120">
        <v>13</v>
      </c>
      <c r="D120">
        <v>3</v>
      </c>
      <c r="E120" t="s">
        <v>525</v>
      </c>
      <c r="F120" s="91">
        <v>106971.12</v>
      </c>
      <c r="G120" s="91">
        <f>SUMIF(TabelaDespesas[Rubrica],$K120,TabelaDespesas[Valor])+SUMIF(TabelaDespesas[Rubrica],$A120,TabelaDespesas[Valor])+SUMIF(TabelaDespesas[Rubrica],$A120&amp;".",TabelaDespesas[Valor])</f>
        <v>0</v>
      </c>
      <c r="H120" s="91">
        <f t="shared" si="6"/>
        <v>106971.12</v>
      </c>
      <c r="I120" s="78">
        <f t="shared" si="7"/>
        <v>0</v>
      </c>
      <c r="J120">
        <f>COUNTIF(TabelaDespesas[Rubrica],$K120)+COUNTIF(TabelaDespesas[Rubrica],$A120)+COUNTIF(TabelaDespesas[Rubrica],$A120&amp;".")</f>
        <v>0</v>
      </c>
      <c r="K120" s="77" t="s">
        <v>664</v>
      </c>
      <c r="M120" s="77" t="s">
        <v>688</v>
      </c>
    </row>
    <row r="121" spans="1:13" x14ac:dyDescent="0.3">
      <c r="A121" s="77" t="s">
        <v>348</v>
      </c>
      <c r="B121" t="s">
        <v>190</v>
      </c>
      <c r="C121">
        <v>13</v>
      </c>
      <c r="D121">
        <v>2</v>
      </c>
      <c r="E121" t="s">
        <v>525</v>
      </c>
      <c r="F121" s="91">
        <v>24730.817999999999</v>
      </c>
      <c r="G121" s="91">
        <f>SUMIF(TabelaDespesas[Rubrica],$K121,TabelaDespesas[Valor])+SUMIF(TabelaDespesas[Rubrica],$A121,TabelaDespesas[Valor])+SUMIF(TabelaDespesas[Rubrica],$A121&amp;".",TabelaDespesas[Valor])</f>
        <v>0</v>
      </c>
      <c r="H121" s="91">
        <f t="shared" si="6"/>
        <v>24730.817999999999</v>
      </c>
      <c r="I121" s="78">
        <f t="shared" si="7"/>
        <v>0</v>
      </c>
      <c r="J121">
        <f>COUNTIF(TabelaDespesas[Rubrica],$K121)+COUNTIF(TabelaDespesas[Rubrica],$A121)+COUNTIF(TabelaDespesas[Rubrica],$A121&amp;".")</f>
        <v>0</v>
      </c>
      <c r="K121" s="77" t="s">
        <v>665</v>
      </c>
      <c r="M121" s="77" t="s">
        <v>689</v>
      </c>
    </row>
    <row r="122" spans="1:13" x14ac:dyDescent="0.3">
      <c r="A122" s="77" t="s">
        <v>349</v>
      </c>
      <c r="B122" t="s">
        <v>191</v>
      </c>
      <c r="C122">
        <v>13</v>
      </c>
      <c r="D122">
        <v>2</v>
      </c>
      <c r="E122" t="s">
        <v>525</v>
      </c>
      <c r="F122" s="91">
        <v>16988.604000000003</v>
      </c>
      <c r="G122" s="91">
        <f>SUMIF(TabelaDespesas[Rubrica],$K122,TabelaDespesas[Valor])+SUMIF(TabelaDespesas[Rubrica],$A122,TabelaDespesas[Valor])+SUMIF(TabelaDespesas[Rubrica],$A122&amp;".",TabelaDespesas[Valor])</f>
        <v>0</v>
      </c>
      <c r="H122" s="91">
        <f t="shared" si="6"/>
        <v>16988.604000000003</v>
      </c>
      <c r="I122" s="78">
        <f t="shared" si="7"/>
        <v>0</v>
      </c>
      <c r="J122">
        <f>COUNTIF(TabelaDespesas[Rubrica],$K122)+COUNTIF(TabelaDespesas[Rubrica],$A122)+COUNTIF(TabelaDespesas[Rubrica],$A122&amp;".")</f>
        <v>0</v>
      </c>
      <c r="K122" s="77" t="s">
        <v>666</v>
      </c>
      <c r="M122" s="77" t="s">
        <v>691</v>
      </c>
    </row>
    <row r="123" spans="1:13" x14ac:dyDescent="0.3">
      <c r="A123" s="77" t="s">
        <v>350</v>
      </c>
      <c r="B123" t="s">
        <v>192</v>
      </c>
      <c r="C123">
        <v>13</v>
      </c>
      <c r="D123">
        <v>2</v>
      </c>
      <c r="E123" t="s">
        <v>525</v>
      </c>
      <c r="F123" s="91">
        <v>28619.135999999999</v>
      </c>
      <c r="G123" s="91">
        <f>SUMIF(TabelaDespesas[Rubrica],$K123,TabelaDespesas[Valor])+SUMIF(TabelaDespesas[Rubrica],$A123,TabelaDespesas[Valor])+SUMIF(TabelaDespesas[Rubrica],$A123&amp;".",TabelaDespesas[Valor])</f>
        <v>0</v>
      </c>
      <c r="H123" s="91">
        <f t="shared" si="6"/>
        <v>28619.135999999999</v>
      </c>
      <c r="I123" s="78">
        <f t="shared" si="7"/>
        <v>0</v>
      </c>
      <c r="J123">
        <f>COUNTIF(TabelaDespesas[Rubrica],$K123)+COUNTIF(TabelaDespesas[Rubrica],$A123)+COUNTIF(TabelaDespesas[Rubrica],$A123&amp;".")</f>
        <v>0</v>
      </c>
      <c r="K123" s="77" t="s">
        <v>667</v>
      </c>
      <c r="M123" s="77" t="s">
        <v>692</v>
      </c>
    </row>
    <row r="124" spans="1:13" x14ac:dyDescent="0.3">
      <c r="A124" s="77" t="s">
        <v>351</v>
      </c>
      <c r="B124" t="s">
        <v>193</v>
      </c>
      <c r="C124">
        <v>13</v>
      </c>
      <c r="D124">
        <v>2</v>
      </c>
      <c r="E124" t="s">
        <v>525</v>
      </c>
      <c r="F124" s="91">
        <v>16315.462800000001</v>
      </c>
      <c r="G124" s="91">
        <f>SUMIF(TabelaDespesas[Rubrica],$K124,TabelaDespesas[Valor])+SUMIF(TabelaDespesas[Rubrica],$A124,TabelaDespesas[Valor])+SUMIF(TabelaDespesas[Rubrica],$A124&amp;".",TabelaDespesas[Valor])</f>
        <v>0</v>
      </c>
      <c r="H124" s="91">
        <f t="shared" si="6"/>
        <v>16315.462800000001</v>
      </c>
      <c r="I124" s="78">
        <f t="shared" si="7"/>
        <v>0</v>
      </c>
      <c r="J124">
        <f>COUNTIF(TabelaDespesas[Rubrica],$K124)+COUNTIF(TabelaDespesas[Rubrica],$A124)+COUNTIF(TabelaDespesas[Rubrica],$A124&amp;".")</f>
        <v>0</v>
      </c>
      <c r="K124" s="77" t="s">
        <v>668</v>
      </c>
      <c r="M124" s="77" t="s">
        <v>693</v>
      </c>
    </row>
    <row r="125" spans="1:13" x14ac:dyDescent="0.3">
      <c r="A125" s="79" t="s">
        <v>669</v>
      </c>
      <c r="B125" s="71" t="s">
        <v>195</v>
      </c>
      <c r="C125" s="71">
        <v>14</v>
      </c>
      <c r="D125" s="71">
        <v>1</v>
      </c>
      <c r="E125" s="71" t="s">
        <v>520</v>
      </c>
      <c r="F125" s="73">
        <v>61947.1</v>
      </c>
      <c r="G125" s="73">
        <f>SUMIF(TabelaDespesas[Rubrica],$K125,TabelaDespesas[Valor])+SUMIF(TabelaDespesas[Rubrica],$A125,TabelaDespesas[Valor])+SUMIF(TabelaDespesas[Rubrica],$A125&amp;".",TabelaDespesas[Valor])</f>
        <v>0</v>
      </c>
      <c r="H125" s="73">
        <f t="shared" si="6"/>
        <v>61947.1</v>
      </c>
      <c r="I125" s="95">
        <f t="shared" si="7"/>
        <v>0</v>
      </c>
      <c r="J125" s="71">
        <f>COUNTIF(TabelaDespesas[Rubrica],$K125)+COUNTIF(TabelaDespesas[Rubrica],$A125)+COUNTIF(TabelaDespesas[Rubrica],$A125&amp;".")</f>
        <v>0</v>
      </c>
      <c r="K125" s="79" t="s">
        <v>670</v>
      </c>
      <c r="M125" s="77" t="s">
        <v>694</v>
      </c>
    </row>
    <row r="126" spans="1:13" x14ac:dyDescent="0.3">
      <c r="A126" s="77" t="s">
        <v>215</v>
      </c>
      <c r="B126" t="s">
        <v>197</v>
      </c>
      <c r="C126">
        <v>14</v>
      </c>
      <c r="D126">
        <v>2</v>
      </c>
      <c r="E126" t="s">
        <v>523</v>
      </c>
      <c r="F126" s="91">
        <v>0</v>
      </c>
      <c r="G126" s="91">
        <f>SUMIF(TabelaDespesas[Rubrica],$K126,TabelaDespesas[Valor])+SUMIF(TabelaDespesas[Rubrica],$A126,TabelaDespesas[Valor])+SUMIF(TabelaDespesas[Rubrica],$A126&amp;".",TabelaDespesas[Valor])</f>
        <v>0</v>
      </c>
      <c r="H126" s="91">
        <f t="shared" si="6"/>
        <v>0</v>
      </c>
      <c r="I126" s="78" t="str">
        <f t="shared" si="7"/>
        <v/>
      </c>
      <c r="J126">
        <f>COUNTIF(TabelaDespesas[Rubrica],$K126)+COUNTIF(TabelaDespesas[Rubrica],$A126)+COUNTIF(TabelaDespesas[Rubrica],$A126&amp;".")</f>
        <v>0</v>
      </c>
      <c r="K126" s="77" t="s">
        <v>671</v>
      </c>
      <c r="M126" s="77" t="s">
        <v>695</v>
      </c>
    </row>
    <row r="127" spans="1:13" x14ac:dyDescent="0.3">
      <c r="A127" s="77" t="s">
        <v>352</v>
      </c>
      <c r="B127" t="s">
        <v>199</v>
      </c>
      <c r="C127">
        <v>14</v>
      </c>
      <c r="D127">
        <v>3</v>
      </c>
      <c r="E127" t="s">
        <v>525</v>
      </c>
      <c r="F127" s="91">
        <v>6763.7699999999995</v>
      </c>
      <c r="G127" s="91">
        <f>SUMIF(TabelaDespesas[Rubrica],$K127,TabelaDespesas[Valor])+SUMIF(TabelaDespesas[Rubrica],$A127,TabelaDespesas[Valor])+SUMIF(TabelaDespesas[Rubrica],$A127&amp;".",TabelaDespesas[Valor])</f>
        <v>0</v>
      </c>
      <c r="H127" s="91">
        <f t="shared" si="6"/>
        <v>6763.7699999999995</v>
      </c>
      <c r="I127" s="78">
        <f t="shared" si="7"/>
        <v>0</v>
      </c>
      <c r="J127">
        <f>COUNTIF(TabelaDespesas[Rubrica],$K127)+COUNTIF(TabelaDespesas[Rubrica],$A127)+COUNTIF(TabelaDespesas[Rubrica],$A127&amp;".")</f>
        <v>0</v>
      </c>
      <c r="K127" s="77" t="s">
        <v>672</v>
      </c>
      <c r="M127" s="77" t="s">
        <v>696</v>
      </c>
    </row>
    <row r="128" spans="1:13" x14ac:dyDescent="0.3">
      <c r="A128" s="77" t="s">
        <v>353</v>
      </c>
      <c r="B128" t="s">
        <v>200</v>
      </c>
      <c r="C128">
        <v>14</v>
      </c>
      <c r="D128">
        <v>3</v>
      </c>
      <c r="E128" t="s">
        <v>525</v>
      </c>
      <c r="F128" s="91">
        <v>10253.280000000001</v>
      </c>
      <c r="G128" s="91">
        <f>SUMIF(TabelaDespesas[Rubrica],$K128,TabelaDespesas[Valor])+SUMIF(TabelaDespesas[Rubrica],$A128,TabelaDespesas[Valor])+SUMIF(TabelaDespesas[Rubrica],$A128&amp;".",TabelaDespesas[Valor])</f>
        <v>0</v>
      </c>
      <c r="H128" s="91">
        <f t="shared" si="6"/>
        <v>10253.280000000001</v>
      </c>
      <c r="I128" s="78">
        <f t="shared" si="7"/>
        <v>0</v>
      </c>
      <c r="J128">
        <f>COUNTIF(TabelaDespesas[Rubrica],$K128)+COUNTIF(TabelaDespesas[Rubrica],$A128)+COUNTIF(TabelaDespesas[Rubrica],$A128&amp;".")</f>
        <v>0</v>
      </c>
      <c r="K128" s="77" t="s">
        <v>673</v>
      </c>
      <c r="M128" s="77" t="s">
        <v>697</v>
      </c>
    </row>
    <row r="129" spans="1:13" x14ac:dyDescent="0.3">
      <c r="A129" s="77" t="s">
        <v>354</v>
      </c>
      <c r="B129" t="s">
        <v>201</v>
      </c>
      <c r="C129">
        <v>14</v>
      </c>
      <c r="D129">
        <v>3</v>
      </c>
      <c r="E129" t="s">
        <v>523</v>
      </c>
      <c r="F129" s="91">
        <v>0</v>
      </c>
      <c r="G129" s="91">
        <f>SUMIF(TabelaDespesas[Rubrica],$K129,TabelaDespesas[Valor])+SUMIF(TabelaDespesas[Rubrica],$A129,TabelaDespesas[Valor])+SUMIF(TabelaDespesas[Rubrica],$A129&amp;".",TabelaDespesas[Valor])</f>
        <v>0</v>
      </c>
      <c r="H129" s="91">
        <f t="shared" si="6"/>
        <v>0</v>
      </c>
      <c r="I129" s="78" t="str">
        <f t="shared" si="7"/>
        <v/>
      </c>
      <c r="J129">
        <f>COUNTIF(TabelaDespesas[Rubrica],$K129)+COUNTIF(TabelaDespesas[Rubrica],$A129)+COUNTIF(TabelaDespesas[Rubrica],$A129&amp;".")</f>
        <v>0</v>
      </c>
      <c r="K129" s="77" t="s">
        <v>674</v>
      </c>
      <c r="M129" s="77" t="s">
        <v>698</v>
      </c>
    </row>
    <row r="130" spans="1:13" x14ac:dyDescent="0.3">
      <c r="A130" s="77" t="s">
        <v>355</v>
      </c>
      <c r="B130" t="s">
        <v>202</v>
      </c>
      <c r="C130">
        <v>14</v>
      </c>
      <c r="D130">
        <v>4</v>
      </c>
      <c r="E130" t="s">
        <v>525</v>
      </c>
      <c r="F130" s="91">
        <v>904.18</v>
      </c>
      <c r="G130" s="91">
        <f>SUMIF(TabelaDespesas[Rubrica],$K130,TabelaDespesas[Valor])+SUMIF(TabelaDespesas[Rubrica],$A130,TabelaDespesas[Valor])+SUMIF(TabelaDespesas[Rubrica],$A130&amp;".",TabelaDespesas[Valor])</f>
        <v>0</v>
      </c>
      <c r="H130" s="91">
        <f t="shared" ref="H130:H161" si="8">F130-G130</f>
        <v>904.18</v>
      </c>
      <c r="I130" s="78">
        <f t="shared" ref="I130:I161" si="9">IF(F130=0,"",G130/F130)</f>
        <v>0</v>
      </c>
      <c r="J130">
        <f>COUNTIF(TabelaDespesas[Rubrica],$K130)+COUNTIF(TabelaDespesas[Rubrica],$A130)+COUNTIF(TabelaDespesas[Rubrica],$A130&amp;".")</f>
        <v>0</v>
      </c>
      <c r="K130" s="77" t="s">
        <v>675</v>
      </c>
      <c r="M130" s="77" t="s">
        <v>699</v>
      </c>
    </row>
    <row r="131" spans="1:13" x14ac:dyDescent="0.3">
      <c r="A131" s="77" t="s">
        <v>356</v>
      </c>
      <c r="B131" t="s">
        <v>203</v>
      </c>
      <c r="C131">
        <v>14</v>
      </c>
      <c r="D131">
        <v>4</v>
      </c>
      <c r="E131" t="s">
        <v>525</v>
      </c>
      <c r="F131" s="91">
        <v>562.16</v>
      </c>
      <c r="G131" s="91">
        <f>SUMIF(TabelaDespesas[Rubrica],$K131,TabelaDespesas[Valor])+SUMIF(TabelaDespesas[Rubrica],$A131,TabelaDespesas[Valor])+SUMIF(TabelaDespesas[Rubrica],$A131&amp;".",TabelaDespesas[Valor])</f>
        <v>0</v>
      </c>
      <c r="H131" s="91">
        <f t="shared" si="8"/>
        <v>562.16</v>
      </c>
      <c r="I131" s="78">
        <f t="shared" si="9"/>
        <v>0</v>
      </c>
      <c r="J131">
        <f>COUNTIF(TabelaDespesas[Rubrica],$K131)+COUNTIF(TabelaDespesas[Rubrica],$A131)+COUNTIF(TabelaDespesas[Rubrica],$A131&amp;".")</f>
        <v>0</v>
      </c>
      <c r="K131" s="77" t="s">
        <v>676</v>
      </c>
      <c r="M131" s="77" t="s">
        <v>701</v>
      </c>
    </row>
    <row r="132" spans="1:13" x14ac:dyDescent="0.3">
      <c r="A132" s="77" t="s">
        <v>357</v>
      </c>
      <c r="B132" t="s">
        <v>204</v>
      </c>
      <c r="C132">
        <v>14</v>
      </c>
      <c r="D132">
        <v>4</v>
      </c>
      <c r="E132" t="s">
        <v>525</v>
      </c>
      <c r="F132" s="91">
        <v>1192.46</v>
      </c>
      <c r="G132" s="91">
        <f>SUMIF(TabelaDespesas[Rubrica],$K132,TabelaDespesas[Valor])+SUMIF(TabelaDespesas[Rubrica],$A132,TabelaDespesas[Valor])+SUMIF(TabelaDespesas[Rubrica],$A132&amp;".",TabelaDespesas[Valor])</f>
        <v>0</v>
      </c>
      <c r="H132" s="91">
        <f t="shared" si="8"/>
        <v>1192.46</v>
      </c>
      <c r="I132" s="78">
        <f t="shared" si="9"/>
        <v>0</v>
      </c>
      <c r="J132">
        <f>COUNTIF(TabelaDespesas[Rubrica],$K132)+COUNTIF(TabelaDespesas[Rubrica],$A132)+COUNTIF(TabelaDespesas[Rubrica],$A132&amp;".")</f>
        <v>0</v>
      </c>
      <c r="K132" s="77" t="s">
        <v>677</v>
      </c>
      <c r="M132" s="77" t="s">
        <v>702</v>
      </c>
    </row>
    <row r="133" spans="1:13" x14ac:dyDescent="0.3">
      <c r="A133" s="77" t="s">
        <v>358</v>
      </c>
      <c r="B133" t="s">
        <v>205</v>
      </c>
      <c r="C133">
        <v>14</v>
      </c>
      <c r="D133">
        <v>4</v>
      </c>
      <c r="E133" t="s">
        <v>525</v>
      </c>
      <c r="F133" s="91">
        <v>9841.9500000000007</v>
      </c>
      <c r="G133" s="91">
        <f>SUMIF(TabelaDespesas[Rubrica],$K133,TabelaDespesas[Valor])+SUMIF(TabelaDespesas[Rubrica],$A133,TabelaDespesas[Valor])+SUMIF(TabelaDespesas[Rubrica],$A133&amp;".",TabelaDespesas[Valor])</f>
        <v>0</v>
      </c>
      <c r="H133" s="91">
        <f t="shared" si="8"/>
        <v>9841.9500000000007</v>
      </c>
      <c r="I133" s="78">
        <f t="shared" si="9"/>
        <v>0</v>
      </c>
      <c r="J133">
        <f>COUNTIF(TabelaDespesas[Rubrica],$K133)+COUNTIF(TabelaDespesas[Rubrica],$A133)+COUNTIF(TabelaDespesas[Rubrica],$A133&amp;".")</f>
        <v>0</v>
      </c>
      <c r="K133" s="77" t="s">
        <v>678</v>
      </c>
      <c r="M133" s="77" t="s">
        <v>704</v>
      </c>
    </row>
    <row r="134" spans="1:13" x14ac:dyDescent="0.3">
      <c r="A134" s="77" t="s">
        <v>359</v>
      </c>
      <c r="B134" t="s">
        <v>206</v>
      </c>
      <c r="C134">
        <v>14</v>
      </c>
      <c r="D134">
        <v>4</v>
      </c>
      <c r="E134" t="s">
        <v>525</v>
      </c>
      <c r="F134" s="91">
        <v>10653.6</v>
      </c>
      <c r="G134" s="91">
        <f>SUMIF(TabelaDespesas[Rubrica],$K134,TabelaDespesas[Valor])+SUMIF(TabelaDespesas[Rubrica],$A134,TabelaDespesas[Valor])+SUMIF(TabelaDespesas[Rubrica],$A134&amp;".",TabelaDespesas[Valor])</f>
        <v>0</v>
      </c>
      <c r="H134" s="91">
        <f t="shared" si="8"/>
        <v>10653.6</v>
      </c>
      <c r="I134" s="78">
        <f t="shared" si="9"/>
        <v>0</v>
      </c>
      <c r="J134">
        <f>COUNTIF(TabelaDespesas[Rubrica],$K134)+COUNTIF(TabelaDespesas[Rubrica],$A134)+COUNTIF(TabelaDespesas[Rubrica],$A134&amp;".")</f>
        <v>0</v>
      </c>
      <c r="K134" s="77" t="s">
        <v>679</v>
      </c>
      <c r="M134" s="77" t="s">
        <v>706</v>
      </c>
    </row>
    <row r="135" spans="1:13" x14ac:dyDescent="0.3">
      <c r="A135" s="77" t="s">
        <v>360</v>
      </c>
      <c r="B135" t="s">
        <v>207</v>
      </c>
      <c r="C135">
        <v>14</v>
      </c>
      <c r="D135">
        <v>3</v>
      </c>
      <c r="E135" t="s">
        <v>525</v>
      </c>
      <c r="F135" s="91">
        <v>2149.2200000000003</v>
      </c>
      <c r="G135" s="91">
        <f>SUMIF(TabelaDespesas[Rubrica],$K135,TabelaDespesas[Valor])+SUMIF(TabelaDespesas[Rubrica],$A135,TabelaDespesas[Valor])+SUMIF(TabelaDespesas[Rubrica],$A135&amp;".",TabelaDespesas[Valor])</f>
        <v>0</v>
      </c>
      <c r="H135" s="91">
        <f t="shared" si="8"/>
        <v>2149.2200000000003</v>
      </c>
      <c r="I135" s="78">
        <f t="shared" si="9"/>
        <v>0</v>
      </c>
      <c r="J135">
        <f>COUNTIF(TabelaDespesas[Rubrica],$K135)+COUNTIF(TabelaDespesas[Rubrica],$A135)+COUNTIF(TabelaDespesas[Rubrica],$A135&amp;".")</f>
        <v>0</v>
      </c>
      <c r="K135" s="77" t="s">
        <v>680</v>
      </c>
      <c r="M135" s="77" t="s">
        <v>707</v>
      </c>
    </row>
    <row r="136" spans="1:13" x14ac:dyDescent="0.3">
      <c r="A136" s="77" t="s">
        <v>361</v>
      </c>
      <c r="B136" t="s">
        <v>208</v>
      </c>
      <c r="C136">
        <v>14</v>
      </c>
      <c r="D136">
        <v>3</v>
      </c>
      <c r="E136" t="s">
        <v>525</v>
      </c>
      <c r="F136" s="91">
        <v>149.6</v>
      </c>
      <c r="G136" s="91">
        <f>SUMIF(TabelaDespesas[Rubrica],$K136,TabelaDespesas[Valor])+SUMIF(TabelaDespesas[Rubrica],$A136,TabelaDespesas[Valor])+SUMIF(TabelaDespesas[Rubrica],$A136&amp;".",TabelaDespesas[Valor])</f>
        <v>0</v>
      </c>
      <c r="H136" s="91">
        <f t="shared" si="8"/>
        <v>149.6</v>
      </c>
      <c r="I136" s="78">
        <f t="shared" si="9"/>
        <v>0</v>
      </c>
      <c r="J136">
        <f>COUNTIF(TabelaDespesas[Rubrica],$K136)+COUNTIF(TabelaDespesas[Rubrica],$A136)+COUNTIF(TabelaDespesas[Rubrica],$A136&amp;".")</f>
        <v>0</v>
      </c>
      <c r="K136" s="77" t="s">
        <v>681</v>
      </c>
      <c r="M136" s="77" t="s">
        <v>708</v>
      </c>
    </row>
    <row r="137" spans="1:13" x14ac:dyDescent="0.3">
      <c r="A137" s="77" t="s">
        <v>362</v>
      </c>
      <c r="B137" t="s">
        <v>209</v>
      </c>
      <c r="C137">
        <v>14</v>
      </c>
      <c r="D137">
        <v>3</v>
      </c>
      <c r="E137" t="s">
        <v>525</v>
      </c>
      <c r="F137" s="91">
        <v>959.2</v>
      </c>
      <c r="G137" s="91">
        <f>SUMIF(TabelaDespesas[Rubrica],$K137,TabelaDespesas[Valor])+SUMIF(TabelaDespesas[Rubrica],$A137,TabelaDespesas[Valor])+SUMIF(TabelaDespesas[Rubrica],$A137&amp;".",TabelaDespesas[Valor])</f>
        <v>0</v>
      </c>
      <c r="H137" s="91">
        <f t="shared" si="8"/>
        <v>959.2</v>
      </c>
      <c r="I137" s="78">
        <f t="shared" si="9"/>
        <v>0</v>
      </c>
      <c r="J137">
        <f>COUNTIF(TabelaDespesas[Rubrica],$K137)+COUNTIF(TabelaDespesas[Rubrica],$A137)+COUNTIF(TabelaDespesas[Rubrica],$A137&amp;".")</f>
        <v>0</v>
      </c>
      <c r="K137" s="77" t="s">
        <v>682</v>
      </c>
      <c r="M137" s="77" t="s">
        <v>709</v>
      </c>
    </row>
    <row r="138" spans="1:13" x14ac:dyDescent="0.3">
      <c r="A138" s="77" t="s">
        <v>363</v>
      </c>
      <c r="B138" t="s">
        <v>210</v>
      </c>
      <c r="C138">
        <v>14</v>
      </c>
      <c r="D138">
        <v>3</v>
      </c>
      <c r="E138" t="s">
        <v>525</v>
      </c>
      <c r="F138" s="91">
        <v>2000.3899999999999</v>
      </c>
      <c r="G138" s="91">
        <f>SUMIF(TabelaDespesas[Rubrica],$K138,TabelaDespesas[Valor])+SUMIF(TabelaDespesas[Rubrica],$A138,TabelaDespesas[Valor])+SUMIF(TabelaDespesas[Rubrica],$A138&amp;".",TabelaDespesas[Valor])</f>
        <v>0</v>
      </c>
      <c r="H138" s="91">
        <f t="shared" si="8"/>
        <v>2000.3899999999999</v>
      </c>
      <c r="I138" s="78">
        <f t="shared" si="9"/>
        <v>0</v>
      </c>
      <c r="J138">
        <f>COUNTIF(TabelaDespesas[Rubrica],$K138)+COUNTIF(TabelaDespesas[Rubrica],$A138)+COUNTIF(TabelaDespesas[Rubrica],$A138&amp;".")</f>
        <v>0</v>
      </c>
      <c r="K138" s="77" t="s">
        <v>683</v>
      </c>
      <c r="M138" s="77" t="s">
        <v>710</v>
      </c>
    </row>
    <row r="139" spans="1:13" x14ac:dyDescent="0.3">
      <c r="A139" s="77" t="s">
        <v>364</v>
      </c>
      <c r="B139" t="s">
        <v>211</v>
      </c>
      <c r="C139">
        <v>14</v>
      </c>
      <c r="D139">
        <v>3</v>
      </c>
      <c r="E139" t="s">
        <v>525</v>
      </c>
      <c r="F139" s="91">
        <v>1084.04</v>
      </c>
      <c r="G139" s="91">
        <f>SUMIF(TabelaDespesas[Rubrica],$K139,TabelaDespesas[Valor])+SUMIF(TabelaDespesas[Rubrica],$A139,TabelaDespesas[Valor])+SUMIF(TabelaDespesas[Rubrica],$A139&amp;".",TabelaDespesas[Valor])</f>
        <v>0</v>
      </c>
      <c r="H139" s="91">
        <f t="shared" si="8"/>
        <v>1084.04</v>
      </c>
      <c r="I139" s="78">
        <f t="shared" si="9"/>
        <v>0</v>
      </c>
      <c r="J139">
        <f>COUNTIF(TabelaDespesas[Rubrica],$K139)+COUNTIF(TabelaDespesas[Rubrica],$A139)+COUNTIF(TabelaDespesas[Rubrica],$A139&amp;".")</f>
        <v>0</v>
      </c>
      <c r="K139" s="77" t="s">
        <v>684</v>
      </c>
      <c r="M139" s="77" t="s">
        <v>711</v>
      </c>
    </row>
    <row r="140" spans="1:13" x14ac:dyDescent="0.3">
      <c r="A140" s="77" t="s">
        <v>217</v>
      </c>
      <c r="B140" t="s">
        <v>212</v>
      </c>
      <c r="C140">
        <v>14</v>
      </c>
      <c r="D140">
        <v>2</v>
      </c>
      <c r="E140" t="s">
        <v>525</v>
      </c>
      <c r="F140" s="91">
        <v>15433.25</v>
      </c>
      <c r="G140" s="91">
        <f>SUMIF(TabelaDespesas[Rubrica],$K140,TabelaDespesas[Valor])+SUMIF(TabelaDespesas[Rubrica],$A140,TabelaDespesas[Valor])+SUMIF(TabelaDespesas[Rubrica],$A140&amp;".",TabelaDespesas[Valor])</f>
        <v>0</v>
      </c>
      <c r="H140" s="91">
        <f t="shared" si="8"/>
        <v>15433.25</v>
      </c>
      <c r="I140" s="78">
        <f t="shared" si="9"/>
        <v>0</v>
      </c>
      <c r="J140">
        <f>COUNTIF(TabelaDespesas[Rubrica],$K140)+COUNTIF(TabelaDespesas[Rubrica],$A140)+COUNTIF(TabelaDespesas[Rubrica],$A140&amp;".")</f>
        <v>0</v>
      </c>
      <c r="K140" s="77" t="s">
        <v>685</v>
      </c>
      <c r="M140" s="77" t="s">
        <v>713</v>
      </c>
    </row>
    <row r="141" spans="1:13" x14ac:dyDescent="0.3">
      <c r="A141" s="79" t="s">
        <v>686</v>
      </c>
      <c r="B141" s="71" t="s">
        <v>214</v>
      </c>
      <c r="C141" s="71">
        <v>15</v>
      </c>
      <c r="D141" s="71">
        <v>1</v>
      </c>
      <c r="E141" s="71" t="s">
        <v>520</v>
      </c>
      <c r="F141" s="73">
        <v>175685.88</v>
      </c>
      <c r="G141" s="73">
        <f>SUMIF(TabelaDespesas[Rubrica],$K141,TabelaDespesas[Valor])+SUMIF(TabelaDespesas[Rubrica],$A141,TabelaDespesas[Valor])+SUMIF(TabelaDespesas[Rubrica],$A141&amp;".",TabelaDespesas[Valor])</f>
        <v>0</v>
      </c>
      <c r="H141" s="73">
        <f t="shared" si="8"/>
        <v>175685.88</v>
      </c>
      <c r="I141" s="95">
        <f t="shared" si="9"/>
        <v>0</v>
      </c>
      <c r="J141" s="71">
        <f>COUNTIF(TabelaDespesas[Rubrica],$K141)+COUNTIF(TabelaDespesas[Rubrica],$A141)+COUNTIF(TabelaDespesas[Rubrica],$A141&amp;".")</f>
        <v>0</v>
      </c>
      <c r="K141" s="79" t="s">
        <v>687</v>
      </c>
      <c r="M141" s="77" t="s">
        <v>714</v>
      </c>
    </row>
    <row r="142" spans="1:13" x14ac:dyDescent="0.3">
      <c r="A142" s="77" t="s">
        <v>220</v>
      </c>
      <c r="B142" t="s">
        <v>216</v>
      </c>
      <c r="C142">
        <v>15</v>
      </c>
      <c r="D142">
        <v>2</v>
      </c>
      <c r="E142" t="s">
        <v>525</v>
      </c>
      <c r="F142" s="91">
        <v>27518.43</v>
      </c>
      <c r="G142" s="91">
        <f>SUMIF(TabelaDespesas[Rubrica],$K142,TabelaDespesas[Valor])+SUMIF(TabelaDespesas[Rubrica],$A142,TabelaDespesas[Valor])+SUMIF(TabelaDespesas[Rubrica],$A142&amp;".",TabelaDespesas[Valor])</f>
        <v>0</v>
      </c>
      <c r="H142" s="91">
        <f t="shared" si="8"/>
        <v>27518.43</v>
      </c>
      <c r="I142" s="78">
        <f t="shared" si="9"/>
        <v>0</v>
      </c>
      <c r="J142">
        <f>COUNTIF(TabelaDespesas[Rubrica],$K142)+COUNTIF(TabelaDespesas[Rubrica],$A142)+COUNTIF(TabelaDespesas[Rubrica],$A142&amp;".")</f>
        <v>0</v>
      </c>
      <c r="K142" s="77" t="s">
        <v>688</v>
      </c>
      <c r="M142" s="77" t="s">
        <v>715</v>
      </c>
    </row>
    <row r="143" spans="1:13" x14ac:dyDescent="0.3">
      <c r="A143" s="77" t="s">
        <v>365</v>
      </c>
      <c r="B143" t="s">
        <v>234</v>
      </c>
      <c r="C143">
        <v>15</v>
      </c>
      <c r="D143">
        <v>2</v>
      </c>
      <c r="E143" t="s">
        <v>525</v>
      </c>
      <c r="F143" s="91">
        <v>20717.84</v>
      </c>
      <c r="G143" s="91">
        <f>SUMIF(TabelaDespesas[Rubrica],$K143,TabelaDespesas[Valor])+SUMIF(TabelaDespesas[Rubrica],$A143,TabelaDespesas[Valor])+SUMIF(TabelaDespesas[Rubrica],$A143&amp;".",TabelaDespesas[Valor])</f>
        <v>0</v>
      </c>
      <c r="H143" s="91">
        <f t="shared" si="8"/>
        <v>20717.84</v>
      </c>
      <c r="I143" s="78">
        <f t="shared" si="9"/>
        <v>0</v>
      </c>
      <c r="J143">
        <f>COUNTIF(TabelaDespesas[Rubrica],$K143)+COUNTIF(TabelaDespesas[Rubrica],$A143)+COUNTIF(TabelaDespesas[Rubrica],$A143&amp;".")</f>
        <v>0</v>
      </c>
      <c r="K143" s="77" t="s">
        <v>689</v>
      </c>
      <c r="M143" s="77" t="s">
        <v>717</v>
      </c>
    </row>
    <row r="144" spans="1:13" x14ac:dyDescent="0.3">
      <c r="A144" s="77" t="s">
        <v>366</v>
      </c>
      <c r="B144" t="s">
        <v>235</v>
      </c>
      <c r="C144">
        <v>15</v>
      </c>
      <c r="D144">
        <v>2</v>
      </c>
      <c r="E144" t="s">
        <v>523</v>
      </c>
      <c r="F144" s="91">
        <v>0</v>
      </c>
      <c r="G144" s="91">
        <f>SUMIF(TabelaDespesas[Rubrica],$K144,TabelaDespesas[Valor])+SUMIF(TabelaDespesas[Rubrica],$A144,TabelaDespesas[Valor])+SUMIF(TabelaDespesas[Rubrica],$A144&amp;".",TabelaDespesas[Valor])</f>
        <v>0</v>
      </c>
      <c r="H144" s="91">
        <f t="shared" si="8"/>
        <v>0</v>
      </c>
      <c r="I144" s="78" t="str">
        <f t="shared" si="9"/>
        <v/>
      </c>
      <c r="J144">
        <f>COUNTIF(TabelaDespesas[Rubrica],$K144)+COUNTIF(TabelaDespesas[Rubrica],$A144)+COUNTIF(TabelaDespesas[Rubrica],$A144&amp;".")</f>
        <v>0</v>
      </c>
      <c r="K144" s="77" t="s">
        <v>690</v>
      </c>
      <c r="M144" s="77" t="s">
        <v>718</v>
      </c>
    </row>
    <row r="145" spans="1:13" x14ac:dyDescent="0.3">
      <c r="A145" s="77" t="s">
        <v>367</v>
      </c>
      <c r="B145" t="s">
        <v>236</v>
      </c>
      <c r="C145">
        <v>15</v>
      </c>
      <c r="D145">
        <v>3</v>
      </c>
      <c r="E145" t="s">
        <v>525</v>
      </c>
      <c r="F145" s="91">
        <v>10299.84</v>
      </c>
      <c r="G145" s="91">
        <f>SUMIF(TabelaDespesas[Rubrica],$K145,TabelaDespesas[Valor])+SUMIF(TabelaDespesas[Rubrica],$A145,TabelaDespesas[Valor])+SUMIF(TabelaDespesas[Rubrica],$A145&amp;".",TabelaDespesas[Valor])</f>
        <v>0</v>
      </c>
      <c r="H145" s="91">
        <f t="shared" si="8"/>
        <v>10299.84</v>
      </c>
      <c r="I145" s="78">
        <f t="shared" si="9"/>
        <v>0</v>
      </c>
      <c r="J145">
        <f>COUNTIF(TabelaDespesas[Rubrica],$K145)+COUNTIF(TabelaDespesas[Rubrica],$A145)+COUNTIF(TabelaDespesas[Rubrica],$A145&amp;".")</f>
        <v>0</v>
      </c>
      <c r="K145" s="77" t="s">
        <v>691</v>
      </c>
      <c r="M145" s="77" t="s">
        <v>719</v>
      </c>
    </row>
    <row r="146" spans="1:13" x14ac:dyDescent="0.3">
      <c r="A146" s="77" t="s">
        <v>368</v>
      </c>
      <c r="B146" t="s">
        <v>237</v>
      </c>
      <c r="C146">
        <v>15</v>
      </c>
      <c r="D146">
        <v>3</v>
      </c>
      <c r="E146" t="s">
        <v>525</v>
      </c>
      <c r="F146" s="91">
        <v>5959.68</v>
      </c>
      <c r="G146" s="91">
        <f>SUMIF(TabelaDespesas[Rubrica],$K146,TabelaDespesas[Valor])+SUMIF(TabelaDespesas[Rubrica],$A146,TabelaDespesas[Valor])+SUMIF(TabelaDespesas[Rubrica],$A146&amp;".",TabelaDespesas[Valor])</f>
        <v>0</v>
      </c>
      <c r="H146" s="91">
        <f t="shared" si="8"/>
        <v>5959.68</v>
      </c>
      <c r="I146" s="78">
        <f t="shared" si="9"/>
        <v>0</v>
      </c>
      <c r="J146">
        <f>COUNTIF(TabelaDespesas[Rubrica],$K146)+COUNTIF(TabelaDespesas[Rubrica],$A146)+COUNTIF(TabelaDespesas[Rubrica],$A146&amp;".")</f>
        <v>0</v>
      </c>
      <c r="K146" s="77" t="s">
        <v>692</v>
      </c>
      <c r="M146" s="77" t="s">
        <v>721</v>
      </c>
    </row>
    <row r="147" spans="1:13" x14ac:dyDescent="0.3">
      <c r="A147" s="77" t="s">
        <v>369</v>
      </c>
      <c r="B147" t="s">
        <v>238</v>
      </c>
      <c r="C147">
        <v>15</v>
      </c>
      <c r="D147">
        <v>3</v>
      </c>
      <c r="E147" t="s">
        <v>525</v>
      </c>
      <c r="F147" s="91">
        <v>15520.32</v>
      </c>
      <c r="G147" s="91">
        <f>SUMIF(TabelaDespesas[Rubrica],$K147,TabelaDespesas[Valor])+SUMIF(TabelaDespesas[Rubrica],$A147,TabelaDespesas[Valor])+SUMIF(TabelaDespesas[Rubrica],$A147&amp;".",TabelaDespesas[Valor])</f>
        <v>0</v>
      </c>
      <c r="H147" s="91">
        <f t="shared" si="8"/>
        <v>15520.32</v>
      </c>
      <c r="I147" s="78">
        <f t="shared" si="9"/>
        <v>0</v>
      </c>
      <c r="J147">
        <f>COUNTIF(TabelaDespesas[Rubrica],$K147)+COUNTIF(TabelaDespesas[Rubrica],$A147)+COUNTIF(TabelaDespesas[Rubrica],$A147&amp;".")</f>
        <v>0</v>
      </c>
      <c r="K147" s="77" t="s">
        <v>693</v>
      </c>
      <c r="M147" s="77" t="s">
        <v>722</v>
      </c>
    </row>
    <row r="148" spans="1:13" x14ac:dyDescent="0.3">
      <c r="A148" s="77" t="s">
        <v>370</v>
      </c>
      <c r="B148" t="s">
        <v>239</v>
      </c>
      <c r="C148">
        <v>15</v>
      </c>
      <c r="D148">
        <v>3</v>
      </c>
      <c r="E148" t="s">
        <v>525</v>
      </c>
      <c r="F148" s="91">
        <v>9041.76</v>
      </c>
      <c r="G148" s="91">
        <f>SUMIF(TabelaDespesas[Rubrica],$K148,TabelaDespesas[Valor])+SUMIF(TabelaDespesas[Rubrica],$A148,TabelaDespesas[Valor])+SUMIF(TabelaDespesas[Rubrica],$A148&amp;".",TabelaDespesas[Valor])</f>
        <v>0</v>
      </c>
      <c r="H148" s="91">
        <f t="shared" si="8"/>
        <v>9041.76</v>
      </c>
      <c r="I148" s="78">
        <f t="shared" si="9"/>
        <v>0</v>
      </c>
      <c r="J148">
        <f>COUNTIF(TabelaDespesas[Rubrica],$K148)+COUNTIF(TabelaDespesas[Rubrica],$A148)+COUNTIF(TabelaDespesas[Rubrica],$A148&amp;".")</f>
        <v>0</v>
      </c>
      <c r="K148" s="77" t="s">
        <v>694</v>
      </c>
      <c r="M148" s="77" t="s">
        <v>723</v>
      </c>
    </row>
    <row r="149" spans="1:13" x14ac:dyDescent="0.3">
      <c r="A149" s="77" t="s">
        <v>371</v>
      </c>
      <c r="B149" t="s">
        <v>240</v>
      </c>
      <c r="C149">
        <v>15</v>
      </c>
      <c r="D149">
        <v>3</v>
      </c>
      <c r="E149" t="s">
        <v>525</v>
      </c>
      <c r="F149" s="91">
        <v>30396</v>
      </c>
      <c r="G149" s="91">
        <f>SUMIF(TabelaDespesas[Rubrica],$K149,TabelaDespesas[Valor])+SUMIF(TabelaDespesas[Rubrica],$A149,TabelaDespesas[Valor])+SUMIF(TabelaDespesas[Rubrica],$A149&amp;".",TabelaDespesas[Valor])</f>
        <v>0</v>
      </c>
      <c r="H149" s="91">
        <f t="shared" si="8"/>
        <v>30396</v>
      </c>
      <c r="I149" s="78">
        <f t="shared" si="9"/>
        <v>0</v>
      </c>
      <c r="J149">
        <f>COUNTIF(TabelaDespesas[Rubrica],$K149)+COUNTIF(TabelaDespesas[Rubrica],$A149)+COUNTIF(TabelaDespesas[Rubrica],$A149&amp;".")</f>
        <v>0</v>
      </c>
      <c r="K149" s="77" t="s">
        <v>695</v>
      </c>
      <c r="M149" s="77" t="s">
        <v>724</v>
      </c>
    </row>
    <row r="150" spans="1:13" x14ac:dyDescent="0.3">
      <c r="A150" s="77" t="s">
        <v>372</v>
      </c>
      <c r="B150" t="s">
        <v>241</v>
      </c>
      <c r="C150">
        <v>15</v>
      </c>
      <c r="D150">
        <v>3</v>
      </c>
      <c r="E150" t="s">
        <v>525</v>
      </c>
      <c r="F150" s="91">
        <v>15960.72</v>
      </c>
      <c r="G150" s="91">
        <f>SUMIF(TabelaDespesas[Rubrica],$K150,TabelaDespesas[Valor])+SUMIF(TabelaDespesas[Rubrica],$A150,TabelaDespesas[Valor])+SUMIF(TabelaDespesas[Rubrica],$A150&amp;".",TabelaDespesas[Valor])</f>
        <v>0</v>
      </c>
      <c r="H150" s="91">
        <f t="shared" si="8"/>
        <v>15960.72</v>
      </c>
      <c r="I150" s="78">
        <f t="shared" si="9"/>
        <v>0</v>
      </c>
      <c r="J150">
        <f>COUNTIF(TabelaDespesas[Rubrica],$K150)+COUNTIF(TabelaDespesas[Rubrica],$A150)+COUNTIF(TabelaDespesas[Rubrica],$A150&amp;".")</f>
        <v>0</v>
      </c>
      <c r="K150" s="77" t="s">
        <v>696</v>
      </c>
      <c r="M150" s="77" t="s">
        <v>725</v>
      </c>
    </row>
    <row r="151" spans="1:13" x14ac:dyDescent="0.3">
      <c r="A151" s="77" t="s">
        <v>373</v>
      </c>
      <c r="B151" t="s">
        <v>242</v>
      </c>
      <c r="C151">
        <v>15</v>
      </c>
      <c r="D151">
        <v>3</v>
      </c>
      <c r="E151" t="s">
        <v>525</v>
      </c>
      <c r="F151" s="91">
        <v>22974</v>
      </c>
      <c r="G151" s="91">
        <f>SUMIF(TabelaDespesas[Rubrica],$K151,TabelaDespesas[Valor])+SUMIF(TabelaDespesas[Rubrica],$A151,TabelaDespesas[Valor])+SUMIF(TabelaDespesas[Rubrica],$A151&amp;".",TabelaDespesas[Valor])</f>
        <v>0</v>
      </c>
      <c r="H151" s="91">
        <f t="shared" si="8"/>
        <v>22974</v>
      </c>
      <c r="I151" s="78">
        <f t="shared" si="9"/>
        <v>0</v>
      </c>
      <c r="J151">
        <f>COUNTIF(TabelaDespesas[Rubrica],$K151)+COUNTIF(TabelaDespesas[Rubrica],$A151)+COUNTIF(TabelaDespesas[Rubrica],$A151&amp;".")</f>
        <v>0</v>
      </c>
      <c r="K151" s="77" t="s">
        <v>697</v>
      </c>
      <c r="M151" s="77" t="s">
        <v>726</v>
      </c>
    </row>
    <row r="152" spans="1:13" x14ac:dyDescent="0.3">
      <c r="A152" s="77" t="s">
        <v>374</v>
      </c>
      <c r="B152" t="s">
        <v>243</v>
      </c>
      <c r="C152">
        <v>15</v>
      </c>
      <c r="D152">
        <v>2</v>
      </c>
      <c r="E152" t="s">
        <v>525</v>
      </c>
      <c r="F152" s="91">
        <v>12579.85</v>
      </c>
      <c r="G152" s="91">
        <f>SUMIF(TabelaDespesas[Rubrica],$K152,TabelaDespesas[Valor])+SUMIF(TabelaDespesas[Rubrica],$A152,TabelaDespesas[Valor])+SUMIF(TabelaDespesas[Rubrica],$A152&amp;".",TabelaDespesas[Valor])</f>
        <v>0</v>
      </c>
      <c r="H152" s="91">
        <f t="shared" si="8"/>
        <v>12579.85</v>
      </c>
      <c r="I152" s="78">
        <f t="shared" si="9"/>
        <v>0</v>
      </c>
      <c r="J152">
        <f>COUNTIF(TabelaDespesas[Rubrica],$K152)+COUNTIF(TabelaDespesas[Rubrica],$A152)+COUNTIF(TabelaDespesas[Rubrica],$A152&amp;".")</f>
        <v>0</v>
      </c>
      <c r="K152" s="77" t="s">
        <v>698</v>
      </c>
    </row>
    <row r="153" spans="1:13" x14ac:dyDescent="0.3">
      <c r="A153" s="77" t="s">
        <v>375</v>
      </c>
      <c r="B153" t="s">
        <v>244</v>
      </c>
      <c r="C153">
        <v>15</v>
      </c>
      <c r="D153">
        <v>2</v>
      </c>
      <c r="E153" t="s">
        <v>525</v>
      </c>
      <c r="F153" s="91">
        <v>4717.4399999999996</v>
      </c>
      <c r="G153" s="91">
        <f>SUMIF(TabelaDespesas[Rubrica],$K153,TabelaDespesas[Valor])+SUMIF(TabelaDespesas[Rubrica],$A153,TabelaDespesas[Valor])+SUMIF(TabelaDespesas[Rubrica],$A153&amp;".",TabelaDespesas[Valor])</f>
        <v>0</v>
      </c>
      <c r="H153" s="91">
        <f t="shared" si="8"/>
        <v>4717.4399999999996</v>
      </c>
      <c r="I153" s="78">
        <f t="shared" si="9"/>
        <v>0</v>
      </c>
      <c r="J153">
        <f>COUNTIF(TabelaDespesas[Rubrica],$K153)+COUNTIF(TabelaDespesas[Rubrica],$A153)+COUNTIF(TabelaDespesas[Rubrica],$A153&amp;".")</f>
        <v>0</v>
      </c>
      <c r="K153" s="77" t="s">
        <v>699</v>
      </c>
    </row>
    <row r="154" spans="1:13" x14ac:dyDescent="0.3">
      <c r="A154" s="79" t="s">
        <v>700</v>
      </c>
      <c r="B154" s="71" t="s">
        <v>219</v>
      </c>
      <c r="C154" s="71">
        <v>16</v>
      </c>
      <c r="D154" s="71">
        <v>1</v>
      </c>
      <c r="E154" s="71" t="s">
        <v>520</v>
      </c>
      <c r="F154" s="73">
        <v>234000</v>
      </c>
      <c r="G154" s="73">
        <f>SUMIF(TabelaDespesas[Rubrica],$K154,TabelaDespesas[Valor])+SUMIF(TabelaDespesas[Rubrica],$A154,TabelaDespesas[Valor])+SUMIF(TabelaDespesas[Rubrica],$A154&amp;".",TabelaDespesas[Valor])</f>
        <v>0</v>
      </c>
      <c r="H154" s="73">
        <f t="shared" si="8"/>
        <v>234000</v>
      </c>
      <c r="I154" s="95">
        <f t="shared" si="9"/>
        <v>0</v>
      </c>
      <c r="J154" s="71">
        <f>COUNTIF(TabelaDespesas[Rubrica],$K154)+COUNTIF(TabelaDespesas[Rubrica],$A154)+COUNTIF(TabelaDespesas[Rubrica],$A154&amp;".")</f>
        <v>0</v>
      </c>
      <c r="K154" s="79" t="s">
        <v>701</v>
      </c>
    </row>
    <row r="155" spans="1:13" x14ac:dyDescent="0.3">
      <c r="A155" s="77" t="s">
        <v>224</v>
      </c>
      <c r="B155" t="s">
        <v>221</v>
      </c>
      <c r="C155">
        <v>16</v>
      </c>
      <c r="D155">
        <v>2</v>
      </c>
      <c r="E155" t="s">
        <v>525</v>
      </c>
      <c r="F155" s="91">
        <v>234000</v>
      </c>
      <c r="G155" s="91">
        <f>SUMIF(TabelaDespesas[Rubrica],$K155,TabelaDespesas[Valor])+SUMIF(TabelaDespesas[Rubrica],$A155,TabelaDespesas[Valor])+SUMIF(TabelaDespesas[Rubrica],$A155&amp;".",TabelaDespesas[Valor])</f>
        <v>0</v>
      </c>
      <c r="H155" s="91">
        <f t="shared" si="8"/>
        <v>234000</v>
      </c>
      <c r="I155" s="78">
        <f t="shared" si="9"/>
        <v>0</v>
      </c>
      <c r="J155">
        <f>COUNTIF(TabelaDespesas[Rubrica],$K155)+COUNTIF(TabelaDespesas[Rubrica],$A155)+COUNTIF(TabelaDespesas[Rubrica],$A155&amp;".")</f>
        <v>0</v>
      </c>
      <c r="K155" s="77" t="s">
        <v>702</v>
      </c>
    </row>
    <row r="156" spans="1:13" x14ac:dyDescent="0.3">
      <c r="A156" s="79" t="s">
        <v>703</v>
      </c>
      <c r="B156" s="71" t="s">
        <v>223</v>
      </c>
      <c r="C156" s="71">
        <v>17</v>
      </c>
      <c r="D156" s="71">
        <v>1</v>
      </c>
      <c r="E156" s="71" t="s">
        <v>520</v>
      </c>
      <c r="F156" s="73">
        <v>221116.34000000003</v>
      </c>
      <c r="G156" s="73">
        <f>SUMIF(TabelaDespesas[Rubrica],$K156,TabelaDespesas[Valor])+SUMIF(TabelaDespesas[Rubrica],$A156,TabelaDespesas[Valor])+SUMIF(TabelaDespesas[Rubrica],$A156&amp;".",TabelaDespesas[Valor])</f>
        <v>0</v>
      </c>
      <c r="H156" s="73">
        <f t="shared" si="8"/>
        <v>221116.34000000003</v>
      </c>
      <c r="I156" s="95">
        <f t="shared" si="9"/>
        <v>0</v>
      </c>
      <c r="J156" s="71">
        <f>COUNTIF(TabelaDespesas[Rubrica],$K156)+COUNTIF(TabelaDespesas[Rubrica],$A156)+COUNTIF(TabelaDespesas[Rubrica],$A156&amp;".")</f>
        <v>0</v>
      </c>
      <c r="K156" s="79" t="s">
        <v>704</v>
      </c>
    </row>
    <row r="157" spans="1:13" x14ac:dyDescent="0.3">
      <c r="A157" s="77" t="s">
        <v>245</v>
      </c>
      <c r="B157" t="s">
        <v>227</v>
      </c>
      <c r="C157">
        <v>17</v>
      </c>
      <c r="D157">
        <v>2</v>
      </c>
      <c r="E157" t="s">
        <v>523</v>
      </c>
      <c r="F157" s="91">
        <v>0</v>
      </c>
      <c r="G157" s="91">
        <f>SUMIF(TabelaDespesas[Rubrica],$K157,TabelaDespesas[Valor])+SUMIF(TabelaDespesas[Rubrica],$A157,TabelaDespesas[Valor])+SUMIF(TabelaDespesas[Rubrica],$A157&amp;".",TabelaDespesas[Valor])</f>
        <v>0</v>
      </c>
      <c r="H157" s="91">
        <f t="shared" si="8"/>
        <v>0</v>
      </c>
      <c r="I157" s="78" t="str">
        <f t="shared" si="9"/>
        <v/>
      </c>
      <c r="J157">
        <f>COUNTIF(TabelaDespesas[Rubrica],$K157)+COUNTIF(TabelaDespesas[Rubrica],$A157)+COUNTIF(TabelaDespesas[Rubrica],$A157&amp;".")</f>
        <v>0</v>
      </c>
      <c r="K157" s="77" t="s">
        <v>705</v>
      </c>
    </row>
    <row r="158" spans="1:13" x14ac:dyDescent="0.3">
      <c r="A158" s="77" t="s">
        <v>376</v>
      </c>
      <c r="B158" t="s">
        <v>569</v>
      </c>
      <c r="C158">
        <v>17</v>
      </c>
      <c r="D158">
        <v>3</v>
      </c>
      <c r="E158" t="s">
        <v>525</v>
      </c>
      <c r="F158" s="91">
        <v>49140.05</v>
      </c>
      <c r="G158" s="91">
        <f>SUMIF(TabelaDespesas[Rubrica],$K158,TabelaDespesas[Valor])+SUMIF(TabelaDespesas[Rubrica],$A158,TabelaDespesas[Valor])+SUMIF(TabelaDespesas[Rubrica],$A158&amp;".",TabelaDespesas[Valor])</f>
        <v>0</v>
      </c>
      <c r="H158" s="91">
        <f t="shared" si="8"/>
        <v>49140.05</v>
      </c>
      <c r="I158" s="78">
        <f t="shared" si="9"/>
        <v>0</v>
      </c>
      <c r="J158">
        <f>COUNTIF(TabelaDespesas[Rubrica],$K158)+COUNTIF(TabelaDespesas[Rubrica],$A158)+COUNTIF(TabelaDespesas[Rubrica],$A158&amp;".")</f>
        <v>0</v>
      </c>
      <c r="K158" s="77" t="s">
        <v>706</v>
      </c>
    </row>
    <row r="159" spans="1:13" x14ac:dyDescent="0.3">
      <c r="A159" s="77" t="s">
        <v>377</v>
      </c>
      <c r="B159" t="s">
        <v>228</v>
      </c>
      <c r="C159">
        <v>17</v>
      </c>
      <c r="D159">
        <v>3</v>
      </c>
      <c r="E159" t="s">
        <v>525</v>
      </c>
      <c r="F159" s="91">
        <v>16380.02</v>
      </c>
      <c r="G159" s="91">
        <f>SUMIF(TabelaDespesas[Rubrica],$K159,TabelaDespesas[Valor])+SUMIF(TabelaDespesas[Rubrica],$A159,TabelaDespesas[Valor])+SUMIF(TabelaDespesas[Rubrica],$A159&amp;".",TabelaDespesas[Valor])</f>
        <v>0</v>
      </c>
      <c r="H159" s="91">
        <f t="shared" si="8"/>
        <v>16380.02</v>
      </c>
      <c r="I159" s="78">
        <f t="shared" si="9"/>
        <v>0</v>
      </c>
      <c r="J159">
        <f>COUNTIF(TabelaDespesas[Rubrica],$K159)+COUNTIF(TabelaDespesas[Rubrica],$A159)+COUNTIF(TabelaDespesas[Rubrica],$A159&amp;".")</f>
        <v>0</v>
      </c>
      <c r="K159" s="77" t="s">
        <v>707</v>
      </c>
    </row>
    <row r="160" spans="1:13" x14ac:dyDescent="0.3">
      <c r="A160" s="77" t="s">
        <v>378</v>
      </c>
      <c r="B160" t="s">
        <v>229</v>
      </c>
      <c r="C160">
        <v>17</v>
      </c>
      <c r="D160">
        <v>3</v>
      </c>
      <c r="E160" t="s">
        <v>525</v>
      </c>
      <c r="F160" s="91">
        <v>95921.38</v>
      </c>
      <c r="G160" s="91">
        <f>SUMIF(TabelaDespesas[Rubrica],$K160,TabelaDespesas[Valor])+SUMIF(TabelaDespesas[Rubrica],$A160,TabelaDespesas[Valor])+SUMIF(TabelaDespesas[Rubrica],$A160&amp;".",TabelaDespesas[Valor])</f>
        <v>0</v>
      </c>
      <c r="H160" s="91">
        <f t="shared" si="8"/>
        <v>95921.38</v>
      </c>
      <c r="I160" s="78">
        <f t="shared" si="9"/>
        <v>0</v>
      </c>
      <c r="J160">
        <f>COUNTIF(TabelaDespesas[Rubrica],$K160)+COUNTIF(TabelaDespesas[Rubrica],$A160)+COUNTIF(TabelaDespesas[Rubrica],$A160&amp;".")</f>
        <v>0</v>
      </c>
      <c r="K160" s="77" t="s">
        <v>708</v>
      </c>
    </row>
    <row r="161" spans="1:11" x14ac:dyDescent="0.3">
      <c r="A161" s="77" t="s">
        <v>379</v>
      </c>
      <c r="B161" t="s">
        <v>230</v>
      </c>
      <c r="C161">
        <v>17</v>
      </c>
      <c r="D161">
        <v>3</v>
      </c>
      <c r="E161" t="s">
        <v>525</v>
      </c>
      <c r="F161" s="91">
        <v>47174.45</v>
      </c>
      <c r="G161" s="91">
        <f>SUMIF(TabelaDespesas[Rubrica],$K161,TabelaDespesas[Valor])+SUMIF(TabelaDespesas[Rubrica],$A161,TabelaDespesas[Valor])+SUMIF(TabelaDespesas[Rubrica],$A161&amp;".",TabelaDespesas[Valor])</f>
        <v>0</v>
      </c>
      <c r="H161" s="91">
        <f t="shared" si="8"/>
        <v>47174.45</v>
      </c>
      <c r="I161" s="78">
        <f t="shared" si="9"/>
        <v>0</v>
      </c>
      <c r="J161">
        <f>COUNTIF(TabelaDespesas[Rubrica],$K161)+COUNTIF(TabelaDespesas[Rubrica],$A161)+COUNTIF(TabelaDespesas[Rubrica],$A161&amp;".")</f>
        <v>0</v>
      </c>
      <c r="K161" s="77" t="s">
        <v>709</v>
      </c>
    </row>
    <row r="162" spans="1:11" x14ac:dyDescent="0.3">
      <c r="A162" s="77" t="s">
        <v>380</v>
      </c>
      <c r="B162" t="s">
        <v>231</v>
      </c>
      <c r="C162">
        <v>17</v>
      </c>
      <c r="D162">
        <v>3</v>
      </c>
      <c r="E162" t="s">
        <v>525</v>
      </c>
      <c r="F162" s="91">
        <v>7272.73</v>
      </c>
      <c r="G162" s="91">
        <f>SUMIF(TabelaDespesas[Rubrica],$K162,TabelaDespesas[Valor])+SUMIF(TabelaDespesas[Rubrica],$A162,TabelaDespesas[Valor])+SUMIF(TabelaDespesas[Rubrica],$A162&amp;".",TabelaDespesas[Valor])</f>
        <v>0</v>
      </c>
      <c r="H162" s="91">
        <f t="shared" ref="H162:H175" si="10">F162-G162</f>
        <v>7272.73</v>
      </c>
      <c r="I162" s="78">
        <f t="shared" ref="I162:I175" si="11">IF(F162=0,"",G162/F162)</f>
        <v>0</v>
      </c>
      <c r="J162">
        <f>COUNTIF(TabelaDespesas[Rubrica],$K162)+COUNTIF(TabelaDespesas[Rubrica],$A162)+COUNTIF(TabelaDespesas[Rubrica],$A162&amp;".")</f>
        <v>0</v>
      </c>
      <c r="K162" s="77" t="s">
        <v>710</v>
      </c>
    </row>
    <row r="163" spans="1:11" x14ac:dyDescent="0.3">
      <c r="A163" s="77" t="s">
        <v>381</v>
      </c>
      <c r="B163" t="s">
        <v>232</v>
      </c>
      <c r="C163">
        <v>17</v>
      </c>
      <c r="D163">
        <v>3</v>
      </c>
      <c r="E163" t="s">
        <v>525</v>
      </c>
      <c r="F163" s="91">
        <v>5227.71</v>
      </c>
      <c r="G163" s="91">
        <f>SUMIF(TabelaDespesas[Rubrica],$K163,TabelaDespesas[Valor])+SUMIF(TabelaDespesas[Rubrica],$A163,TabelaDespesas[Valor])+SUMIF(TabelaDespesas[Rubrica],$A163&amp;".",TabelaDespesas[Valor])</f>
        <v>0</v>
      </c>
      <c r="H163" s="91">
        <f t="shared" si="10"/>
        <v>5227.71</v>
      </c>
      <c r="I163" s="78">
        <f t="shared" si="11"/>
        <v>0</v>
      </c>
      <c r="J163">
        <f>COUNTIF(TabelaDespesas[Rubrica],$K163)+COUNTIF(TabelaDespesas[Rubrica],$A163)+COUNTIF(TabelaDespesas[Rubrica],$A163&amp;".")</f>
        <v>0</v>
      </c>
      <c r="K163" s="77" t="s">
        <v>711</v>
      </c>
    </row>
    <row r="164" spans="1:11" x14ac:dyDescent="0.3">
      <c r="A164" s="79" t="s">
        <v>712</v>
      </c>
      <c r="B164" s="71" t="s">
        <v>226</v>
      </c>
      <c r="C164" s="71">
        <v>18</v>
      </c>
      <c r="D164" s="71">
        <v>1</v>
      </c>
      <c r="E164" s="71" t="s">
        <v>520</v>
      </c>
      <c r="F164" s="73">
        <v>215292.48</v>
      </c>
      <c r="G164" s="73">
        <f>SUMIF(TabelaDespesas[Rubrica],$K164,TabelaDespesas[Valor])+SUMIF(TabelaDespesas[Rubrica],$A164,TabelaDespesas[Valor])+SUMIF(TabelaDespesas[Rubrica],$A164&amp;".",TabelaDespesas[Valor])</f>
        <v>0</v>
      </c>
      <c r="H164" s="73">
        <f t="shared" si="10"/>
        <v>215292.48</v>
      </c>
      <c r="I164" s="95">
        <f t="shared" si="11"/>
        <v>0</v>
      </c>
      <c r="J164" s="71">
        <f>COUNTIF(TabelaDespesas[Rubrica],$K164)+COUNTIF(TabelaDespesas[Rubrica],$A164)+COUNTIF(TabelaDespesas[Rubrica],$A164&amp;".")</f>
        <v>0</v>
      </c>
      <c r="K164" s="79" t="s">
        <v>713</v>
      </c>
    </row>
    <row r="165" spans="1:11" x14ac:dyDescent="0.3">
      <c r="A165" s="77" t="s">
        <v>247</v>
      </c>
      <c r="B165" t="s">
        <v>252</v>
      </c>
      <c r="C165">
        <v>18</v>
      </c>
      <c r="D165">
        <v>2</v>
      </c>
      <c r="E165" t="s">
        <v>525</v>
      </c>
      <c r="F165" s="91">
        <v>20652</v>
      </c>
      <c r="G165" s="91">
        <f>SUMIF(TabelaDespesas[Rubrica],$K165,TabelaDespesas[Valor])+SUMIF(TabelaDespesas[Rubrica],$A165,TabelaDespesas[Valor])+SUMIF(TabelaDespesas[Rubrica],$A165&amp;".",TabelaDespesas[Valor])</f>
        <v>0</v>
      </c>
      <c r="H165" s="91">
        <f t="shared" si="10"/>
        <v>20652</v>
      </c>
      <c r="I165" s="78">
        <f t="shared" si="11"/>
        <v>0</v>
      </c>
      <c r="J165">
        <f>COUNTIF(TabelaDespesas[Rubrica],$K165)+COUNTIF(TabelaDespesas[Rubrica],$A165)+COUNTIF(TabelaDespesas[Rubrica],$A165&amp;".")</f>
        <v>0</v>
      </c>
      <c r="K165" s="77" t="s">
        <v>714</v>
      </c>
    </row>
    <row r="166" spans="1:11" x14ac:dyDescent="0.3">
      <c r="A166" s="77" t="s">
        <v>248</v>
      </c>
      <c r="B166" t="s">
        <v>253</v>
      </c>
      <c r="C166">
        <v>18</v>
      </c>
      <c r="D166">
        <v>2</v>
      </c>
      <c r="E166" t="s">
        <v>525</v>
      </c>
      <c r="F166" s="91">
        <v>194640.48</v>
      </c>
      <c r="G166" s="91">
        <f>SUMIF(TabelaDespesas[Rubrica],$K166,TabelaDespesas[Valor])+SUMIF(TabelaDespesas[Rubrica],$A166,TabelaDespesas[Valor])+SUMIF(TabelaDespesas[Rubrica],$A166&amp;".",TabelaDespesas[Valor])</f>
        <v>0</v>
      </c>
      <c r="H166" s="91">
        <f t="shared" si="10"/>
        <v>194640.48</v>
      </c>
      <c r="I166" s="78">
        <f t="shared" si="11"/>
        <v>0</v>
      </c>
      <c r="J166">
        <f>COUNTIF(TabelaDespesas[Rubrica],$K166)+COUNTIF(TabelaDespesas[Rubrica],$A166)+COUNTIF(TabelaDespesas[Rubrica],$A166&amp;".")</f>
        <v>0</v>
      </c>
      <c r="K166" s="77" t="s">
        <v>715</v>
      </c>
    </row>
    <row r="167" spans="1:11" x14ac:dyDescent="0.3">
      <c r="A167" s="79" t="s">
        <v>716</v>
      </c>
      <c r="B167" s="71" t="s">
        <v>250</v>
      </c>
      <c r="C167" s="71">
        <v>19</v>
      </c>
      <c r="D167" s="71">
        <v>1</v>
      </c>
      <c r="E167" s="71" t="s">
        <v>520</v>
      </c>
      <c r="F167" s="73">
        <v>14995.880000000001</v>
      </c>
      <c r="G167" s="73">
        <f>SUMIF(TabelaDespesas[Rubrica],$K167,TabelaDespesas[Valor])+SUMIF(TabelaDespesas[Rubrica],$A167,TabelaDespesas[Valor])+SUMIF(TabelaDespesas[Rubrica],$A167&amp;".",TabelaDespesas[Valor])</f>
        <v>0</v>
      </c>
      <c r="H167" s="73">
        <f t="shared" si="10"/>
        <v>14995.880000000001</v>
      </c>
      <c r="I167" s="95">
        <f t="shared" si="11"/>
        <v>0</v>
      </c>
      <c r="J167" s="71">
        <f>COUNTIF(TabelaDespesas[Rubrica],$K167)+COUNTIF(TabelaDespesas[Rubrica],$A167)+COUNTIF(TabelaDespesas[Rubrica],$A167&amp;".")</f>
        <v>0</v>
      </c>
      <c r="K167" s="79" t="s">
        <v>717</v>
      </c>
    </row>
    <row r="168" spans="1:11" x14ac:dyDescent="0.3">
      <c r="A168" s="77" t="s">
        <v>258</v>
      </c>
      <c r="B168" t="s">
        <v>254</v>
      </c>
      <c r="C168">
        <v>19</v>
      </c>
      <c r="D168">
        <v>2</v>
      </c>
      <c r="E168" t="s">
        <v>525</v>
      </c>
      <c r="F168" s="91">
        <v>6250.59</v>
      </c>
      <c r="G168" s="91">
        <f>SUMIF(TabelaDespesas[Rubrica],$K168,TabelaDespesas[Valor])+SUMIF(TabelaDespesas[Rubrica],$A168,TabelaDespesas[Valor])+SUMIF(TabelaDespesas[Rubrica],$A168&amp;".",TabelaDespesas[Valor])</f>
        <v>0</v>
      </c>
      <c r="H168" s="91">
        <f t="shared" si="10"/>
        <v>6250.59</v>
      </c>
      <c r="I168" s="78">
        <f t="shared" si="11"/>
        <v>0</v>
      </c>
      <c r="J168">
        <f>COUNTIF(TabelaDespesas[Rubrica],$K168)+COUNTIF(TabelaDespesas[Rubrica],$A168)+COUNTIF(TabelaDespesas[Rubrica],$A168&amp;".")</f>
        <v>0</v>
      </c>
      <c r="K168" s="77" t="s">
        <v>718</v>
      </c>
    </row>
    <row r="169" spans="1:11" x14ac:dyDescent="0.3">
      <c r="A169" s="77" t="s">
        <v>259</v>
      </c>
      <c r="B169" t="s">
        <v>255</v>
      </c>
      <c r="C169">
        <v>19</v>
      </c>
      <c r="D169">
        <v>2</v>
      </c>
      <c r="E169" t="s">
        <v>525</v>
      </c>
      <c r="F169" s="91">
        <v>8745.2900000000009</v>
      </c>
      <c r="G169" s="91">
        <f>SUMIF(TabelaDespesas[Rubrica],$K169,TabelaDespesas[Valor])+SUMIF(TabelaDespesas[Rubrica],$A169,TabelaDespesas[Valor])+SUMIF(TabelaDespesas[Rubrica],$A169&amp;".",TabelaDespesas[Valor])</f>
        <v>0</v>
      </c>
      <c r="H169" s="91">
        <f t="shared" si="10"/>
        <v>8745.2900000000009</v>
      </c>
      <c r="I169" s="78">
        <f t="shared" si="11"/>
        <v>0</v>
      </c>
      <c r="J169">
        <f>COUNTIF(TabelaDespesas[Rubrica],$K169)+COUNTIF(TabelaDespesas[Rubrica],$A169)+COUNTIF(TabelaDespesas[Rubrica],$A169&amp;".")</f>
        <v>0</v>
      </c>
      <c r="K169" s="77" t="s">
        <v>719</v>
      </c>
    </row>
    <row r="170" spans="1:11" x14ac:dyDescent="0.3">
      <c r="A170" s="79" t="s">
        <v>720</v>
      </c>
      <c r="B170" s="71" t="s">
        <v>251</v>
      </c>
      <c r="C170" s="71">
        <v>20</v>
      </c>
      <c r="D170" s="71">
        <v>1</v>
      </c>
      <c r="E170" s="71" t="s">
        <v>520</v>
      </c>
      <c r="F170" s="73">
        <v>12341.850200000001</v>
      </c>
      <c r="G170" s="73">
        <f>SUMIF(TabelaDespesas[Rubrica],$K170,TabelaDespesas[Valor])+SUMIF(TabelaDespesas[Rubrica],$A170,TabelaDespesas[Valor])+SUMIF(TabelaDespesas[Rubrica],$A170&amp;".",TabelaDespesas[Valor])</f>
        <v>0</v>
      </c>
      <c r="H170" s="73">
        <f t="shared" si="10"/>
        <v>12341.850200000001</v>
      </c>
      <c r="I170" s="95">
        <f t="shared" si="11"/>
        <v>0</v>
      </c>
      <c r="J170" s="71">
        <f>COUNTIF(TabelaDespesas[Rubrica],$K170)+COUNTIF(TabelaDespesas[Rubrica],$A170)+COUNTIF(TabelaDespesas[Rubrica],$A170&amp;".")</f>
        <v>0</v>
      </c>
      <c r="K170" s="79" t="s">
        <v>721</v>
      </c>
    </row>
    <row r="171" spans="1:11" x14ac:dyDescent="0.3">
      <c r="A171" s="77" t="s">
        <v>383</v>
      </c>
      <c r="B171" t="s">
        <v>260</v>
      </c>
      <c r="C171">
        <v>20</v>
      </c>
      <c r="D171">
        <v>2</v>
      </c>
      <c r="E171" t="s">
        <v>525</v>
      </c>
      <c r="F171" s="91">
        <v>376.97840000000002</v>
      </c>
      <c r="G171" s="91">
        <f>SUMIF(TabelaDespesas[Rubrica],$K171,TabelaDespesas[Valor])+SUMIF(TabelaDespesas[Rubrica],$A171,TabelaDespesas[Valor])+SUMIF(TabelaDespesas[Rubrica],$A171&amp;".",TabelaDespesas[Valor])</f>
        <v>0</v>
      </c>
      <c r="H171" s="91">
        <f t="shared" si="10"/>
        <v>376.97840000000002</v>
      </c>
      <c r="I171" s="78">
        <f t="shared" si="11"/>
        <v>0</v>
      </c>
      <c r="J171">
        <f>COUNTIF(TabelaDespesas[Rubrica],$K171)+COUNTIF(TabelaDespesas[Rubrica],$A171)+COUNTIF(TabelaDespesas[Rubrica],$A171&amp;".")</f>
        <v>0</v>
      </c>
      <c r="K171" s="77" t="s">
        <v>722</v>
      </c>
    </row>
    <row r="172" spans="1:11" x14ac:dyDescent="0.3">
      <c r="A172" s="77" t="s">
        <v>384</v>
      </c>
      <c r="B172" t="s">
        <v>261</v>
      </c>
      <c r="C172">
        <v>20</v>
      </c>
      <c r="D172">
        <v>2</v>
      </c>
      <c r="E172" t="s">
        <v>525</v>
      </c>
      <c r="F172" s="91">
        <v>8041.18</v>
      </c>
      <c r="G172" s="91">
        <f>SUMIF(TabelaDespesas[Rubrica],$K172,TabelaDespesas[Valor])+SUMIF(TabelaDespesas[Rubrica],$A172,TabelaDespesas[Valor])+SUMIF(TabelaDespesas[Rubrica],$A172&amp;".",TabelaDespesas[Valor])</f>
        <v>0</v>
      </c>
      <c r="H172" s="91">
        <f t="shared" si="10"/>
        <v>8041.18</v>
      </c>
      <c r="I172" s="78">
        <f t="shared" si="11"/>
        <v>0</v>
      </c>
      <c r="J172">
        <f>COUNTIF(TabelaDespesas[Rubrica],$K172)+COUNTIF(TabelaDespesas[Rubrica],$A172)+COUNTIF(TabelaDespesas[Rubrica],$A172&amp;".")</f>
        <v>0</v>
      </c>
      <c r="K172" s="77" t="s">
        <v>723</v>
      </c>
    </row>
    <row r="173" spans="1:11" x14ac:dyDescent="0.3">
      <c r="A173" s="77" t="s">
        <v>385</v>
      </c>
      <c r="B173" t="s">
        <v>262</v>
      </c>
      <c r="C173">
        <v>20</v>
      </c>
      <c r="D173">
        <v>2</v>
      </c>
      <c r="E173" t="s">
        <v>525</v>
      </c>
      <c r="F173" s="91">
        <v>1234.3699999999999</v>
      </c>
      <c r="G173" s="91">
        <f>SUMIF(TabelaDespesas[Rubrica],$K173,TabelaDespesas[Valor])+SUMIF(TabelaDespesas[Rubrica],$A173,TabelaDespesas[Valor])+SUMIF(TabelaDespesas[Rubrica],$A173&amp;".",TabelaDespesas[Valor])</f>
        <v>0</v>
      </c>
      <c r="H173" s="91">
        <f t="shared" si="10"/>
        <v>1234.3699999999999</v>
      </c>
      <c r="I173" s="78">
        <f t="shared" si="11"/>
        <v>0</v>
      </c>
      <c r="J173">
        <f>COUNTIF(TabelaDespesas[Rubrica],$K173)+COUNTIF(TabelaDespesas[Rubrica],$A173)+COUNTIF(TabelaDespesas[Rubrica],$A173&amp;".")</f>
        <v>0</v>
      </c>
      <c r="K173" s="77" t="s">
        <v>724</v>
      </c>
    </row>
    <row r="174" spans="1:11" x14ac:dyDescent="0.3">
      <c r="A174" s="77" t="s">
        <v>386</v>
      </c>
      <c r="B174" t="s">
        <v>263</v>
      </c>
      <c r="C174">
        <v>20</v>
      </c>
      <c r="D174">
        <v>2</v>
      </c>
      <c r="E174" t="s">
        <v>525</v>
      </c>
      <c r="F174" s="91">
        <v>1175.8574000000001</v>
      </c>
      <c r="G174" s="91">
        <f>SUMIF(TabelaDespesas[Rubrica],$K174,TabelaDespesas[Valor])+SUMIF(TabelaDespesas[Rubrica],$A174,TabelaDespesas[Valor])+SUMIF(TabelaDespesas[Rubrica],$A174&amp;".",TabelaDespesas[Valor])</f>
        <v>0</v>
      </c>
      <c r="H174" s="91">
        <f t="shared" si="10"/>
        <v>1175.8574000000001</v>
      </c>
      <c r="I174" s="78">
        <f t="shared" si="11"/>
        <v>0</v>
      </c>
      <c r="J174">
        <f>COUNTIF(TabelaDespesas[Rubrica],$K174)+COUNTIF(TabelaDespesas[Rubrica],$A174)+COUNTIF(TabelaDespesas[Rubrica],$A174&amp;".")</f>
        <v>0</v>
      </c>
      <c r="K174" s="77" t="s">
        <v>725</v>
      </c>
    </row>
    <row r="175" spans="1:11" x14ac:dyDescent="0.3">
      <c r="A175" s="77" t="s">
        <v>387</v>
      </c>
      <c r="B175" t="s">
        <v>264</v>
      </c>
      <c r="C175">
        <v>20</v>
      </c>
      <c r="D175">
        <v>2</v>
      </c>
      <c r="E175" t="s">
        <v>525</v>
      </c>
      <c r="F175" s="91">
        <v>1513.4643999999998</v>
      </c>
      <c r="G175" s="91">
        <f>SUMIF(TabelaDespesas[Rubrica],$K175,TabelaDespesas[Valor])+SUMIF(TabelaDespesas[Rubrica],$A175,TabelaDespesas[Valor])+SUMIF(TabelaDespesas[Rubrica],$A175&amp;".",TabelaDespesas[Valor])</f>
        <v>0</v>
      </c>
      <c r="H175" s="91">
        <f t="shared" si="10"/>
        <v>1513.4643999999998</v>
      </c>
      <c r="I175" s="78">
        <f t="shared" si="11"/>
        <v>0</v>
      </c>
      <c r="J175">
        <f>COUNTIF(TabelaDespesas[Rubrica],$K175)+COUNTIF(TabelaDespesas[Rubrica],$A175)+COUNTIF(TabelaDespesas[Rubrica],$A175&amp;".")</f>
        <v>0</v>
      </c>
      <c r="K175" s="77" t="s">
        <v>726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Orçamento inicial</vt:lpstr>
      <vt:lpstr>Despesas</vt:lpstr>
      <vt:lpstr>Orçamento vs Gasto</vt:lpstr>
      <vt:lpstr>Rubricas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Carvalho</dc:creator>
  <cp:lastModifiedBy>JOÃO LUÍS ALVES DE CARVALHO</cp:lastModifiedBy>
  <cp:lastPrinted>2026-07-23T10:17:01Z</cp:lastPrinted>
  <dcterms:created xsi:type="dcterms:W3CDTF">2026-05-12T17:03:40Z</dcterms:created>
  <dcterms:modified xsi:type="dcterms:W3CDTF">2026-09-10T17:15:53Z</dcterms:modified>
</cp:coreProperties>
</file>